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Pipeline" sheetId="1" state="visible" r:id="rId3"/>
    <sheet name="Follow-Up Schedule" sheetId="2" state="visible" r:id="rId4"/>
    <sheet name="Conversion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<sst xmlns="http://schemas.openxmlformats.org/spreadsheetml/2006/main" count="136" uniqueCount="114">
  <si>
    <t xml:space="preserve">CATERING LEAD TRACKING PIPELINE</t>
  </si>
  <si>
    <t xml:space="preserve">The Catering Profit System  |  Bonus 2: AI-Powered Lead Capture &amp; Follow-Up Toolkit</t>
  </si>
  <si>
    <t xml:space="preserve">Track every lead from first inquiry to closed deal. Update daily. Review weekly. Blue = your inputs.</t>
  </si>
  <si>
    <t xml:space="preserve">LEAD PIPELINE TRACKER</t>
  </si>
  <si>
    <t xml:space="preserve">Date In</t>
  </si>
  <si>
    <t xml:space="preserve">Lead Name</t>
  </si>
  <si>
    <t xml:space="preserve">Contact Info</t>
  </si>
  <si>
    <t xml:space="preserve">Source</t>
  </si>
  <si>
    <t xml:space="preserve">Event Type</t>
  </si>
  <si>
    <t xml:space="preserve">Event Date</t>
  </si>
  <si>
    <t xml:space="preserve">Guest Count</t>
  </si>
  <si>
    <t xml:space="preserve">Quote Amount</t>
  </si>
  <si>
    <t xml:space="preserve">Stage</t>
  </si>
  <si>
    <t xml:space="preserve">Next Action</t>
  </si>
  <si>
    <t xml:space="preserve">Next Action Date</t>
  </si>
  <si>
    <t xml:space="preserve">Notes</t>
  </si>
  <si>
    <t xml:space="preserve">PIPELINE SUMMARY</t>
  </si>
  <si>
    <t xml:space="preserve">Total Leads (this period)</t>
  </si>
  <si>
    <t xml:space="preserve">Total Quote Value</t>
  </si>
  <si>
    <t xml:space="preserve">Leads by Stage:</t>
  </si>
  <si>
    <t xml:space="preserve">  New Inquiry</t>
  </si>
  <si>
    <t xml:space="preserve">  Responded</t>
  </si>
  <si>
    <t xml:space="preserve">  Quote Sent</t>
  </si>
  <si>
    <t xml:space="preserve">  Follow-Up 1</t>
  </si>
  <si>
    <t xml:space="preserve">  Follow-Up 2</t>
  </si>
  <si>
    <t xml:space="preserve">  Deposit Received</t>
  </si>
  <si>
    <t xml:space="preserve">  Confirmed</t>
  </si>
  <si>
    <t xml:space="preserve">  Lost</t>
  </si>
  <si>
    <t xml:space="preserve">Confirmed Revenue</t>
  </si>
  <si>
    <t xml:space="preserve">Conversion Rate (Confirmed / Total)</t>
  </si>
  <si>
    <t xml:space="preserve">Average Quote Amount</t>
  </si>
  <si>
    <t xml:space="preserve">Average Days to Close</t>
  </si>
  <si>
    <t xml:space="preserve">LEAD SOURCE PERFORMANCE</t>
  </si>
  <si>
    <t xml:space="preserve">Leads</t>
  </si>
  <si>
    <t xml:space="preserve">Quotes Sent</t>
  </si>
  <si>
    <t xml:space="preserve">Confirmed</t>
  </si>
  <si>
    <t xml:space="preserve">Revenue</t>
  </si>
  <si>
    <t xml:space="preserve">Conversion Rate</t>
  </si>
  <si>
    <t xml:space="preserve">Cost (if paid)</t>
  </si>
  <si>
    <t xml:space="preserve">ROI</t>
  </si>
  <si>
    <t xml:space="preserve">Website Form</t>
  </si>
  <si>
    <t xml:space="preserve">Facebook</t>
  </si>
  <si>
    <t xml:space="preserve">Instagram</t>
  </si>
  <si>
    <t xml:space="preserve">Referral</t>
  </si>
  <si>
    <t xml:space="preserve">Google Search</t>
  </si>
  <si>
    <t xml:space="preserve">Word of Mouth</t>
  </si>
  <si>
    <t xml:space="preserve">Repeat Client</t>
  </si>
  <si>
    <t xml:space="preserve">Event Platform</t>
  </si>
  <si>
    <t xml:space="preserve">Cold Outreach</t>
  </si>
  <si>
    <t xml:space="preserve">Other</t>
  </si>
  <si>
    <t xml:space="preserve">Want a fully automated lead tracking system connected to your CRM? That's built in the Catering Program Development engagement. trecoleman.com/services</t>
  </si>
  <si>
    <t xml:space="preserve">FOLLOW-UP SCHEDULE &amp; REMINDERS</t>
  </si>
  <si>
    <t xml:space="preserve">Track your follow-up cadence for every lead. Never let a lead go cold.</t>
  </si>
  <si>
    <t xml:space="preserve">FOLLOW-UP TRACKER</t>
  </si>
  <si>
    <t xml:space="preserve">Initial Response</t>
  </si>
  <si>
    <t xml:space="preserve">Day 1 Follow-Up</t>
  </si>
  <si>
    <t xml:space="preserve">Day 3 Follow-Up</t>
  </si>
  <si>
    <t xml:space="preserve">Day 7 Follow-Up</t>
  </si>
  <si>
    <t xml:space="preserve">Quote Sent</t>
  </si>
  <si>
    <t xml:space="preserve">Post-Quote Follow-Up</t>
  </si>
  <si>
    <t xml:space="preserve">Status</t>
  </si>
  <si>
    <t xml:space="preserve">RESPONSE TIME BENCHMARKS</t>
  </si>
  <si>
    <t xml:space="preserve">Touchpoint</t>
  </si>
  <si>
    <t xml:space="preserve">Timing</t>
  </si>
  <si>
    <t xml:space="preserve">Benchmark / Why It Matters</t>
  </si>
  <si>
    <t xml:space="preserve">Initial response to inquiry</t>
  </si>
  <si>
    <t xml:space="preserve">Within 60 minutes</t>
  </si>
  <si>
    <t xml:space="preserve">Leads that get a response within 1 hour convert at 7x the rate of those that wait 24 hours.</t>
  </si>
  <si>
    <t xml:space="preserve">Follow-up after initial response</t>
  </si>
  <si>
    <t xml:space="preserve">Day 1 (next day)</t>
  </si>
  <si>
    <t xml:space="preserve">If they didn't reply to your first message, a brief follow-up keeps you top of mind.</t>
  </si>
  <si>
    <t xml:space="preserve">Second follow-up</t>
  </si>
  <si>
    <t xml:space="preserve">Day 3</t>
  </si>
  <si>
    <t xml:space="preserve">This is where most caterers stop. Don't. A friendly check-in converts 15-20% of non-responders.</t>
  </si>
  <si>
    <t xml:space="preserve">Final follow-up before moving on</t>
  </si>
  <si>
    <t xml:space="preserve">Day 7</t>
  </si>
  <si>
    <t xml:space="preserve">"Just wanted to make sure this didn't get buried." Last chance before the lead goes cold.</t>
  </si>
  <si>
    <t xml:space="preserve">Quote follow-up</t>
  </si>
  <si>
    <t xml:space="preserve">48 hours after sending</t>
  </si>
  <si>
    <t xml:space="preserve">Most caterers never follow up on quotes. The ones who do close 2-3x more.</t>
  </si>
  <si>
    <t xml:space="preserve">Post-event follow-up</t>
  </si>
  <si>
    <t xml:space="preserve">Same day (text) + Day 1 (email)</t>
  </si>
  <si>
    <t xml:space="preserve">Covered in Module 4's follow-up sequence. Start the retention machine immediately.</t>
  </si>
  <si>
    <t xml:space="preserve">MONTHLY CONVERSION DASHBOARD</t>
  </si>
  <si>
    <t xml:space="preserve">Track your lead-to-client conversion metrics month over month. Fill in monthly.</t>
  </si>
  <si>
    <t xml:space="preserve">LEAD VOLUME &amp; CONVERSION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</si>
  <si>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</si>
  <si>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</si>
  <si>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</si>
  <si>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</si>
  <si>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</si>
  <si>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</si>
  <si>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</si>
  <si>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</si>
  <si>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</si>
  <si>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</si>
  <si>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</si>
  <si>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</si>
  <si>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</si>
  <si>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New Inquiries Received</t>
  </si>
  <si>
    <t xml:space="preserve">Responded Within 60 Min</t>
  </si>
  <si>
    <t xml:space="preserve">Response Rate %</t>
  </si>
  <si>
    <t xml:space="preserve">Quote Rate (Quotes / Inquiries)</t>
  </si>
  <si>
    <t xml:space="preserve">Deposits Received</t>
  </si>
  <si>
    <t xml:space="preserve">Close Rate (Deposits / Quotes)</t>
  </si>
  <si>
    <t xml:space="preserve">Total Revenue Booked</t>
  </si>
  <si>
    <t xml:space="preserve">Average Deal Size</t>
  </si>
  <si>
    <t xml:space="preserve">Leads Lost</t>
  </si>
  <si>
    <t xml:space="preserve">Top Loss Reason</t>
  </si>
  <si>
    <t xml:space="preserve">LEADS BY SOURCE (MONTHLY)</t>
  </si>
  <si>
    <t xml:space="preserve">Website / Online Form</t>
  </si>
  <si>
    <t xml:space="preserve">Social Media (FB/IG)</t>
  </si>
  <si>
    <t xml:space="preserve">Google / Search</t>
  </si>
  <si>
    <t xml:space="preserve">This data tells you WHERE your best leads come from and HOW effectively you convert them. Review monthly. Double down on your best source.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</si>
</sst>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yy"/>
    <numFmt numFmtId="166" formatCode="0"/>
    <numFmt numFmtId="167" formatCode="\$#,##0"/>
    <numFmt numFmtId="168" formatCode="0.0%"/>
    <numFmt numFmtId="169" formatCode="0.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i val="true"/>
      <sz val="10"/>
      <color rgb="FFE9456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3460"/>
        <bgColor rgb="FF1A1A2E"/>
      </patternFill>
    </fill>
    <fill>
      <patternFill patternType="solid">
        <fgColor rgb="FFF5F5F5"/>
        <bgColor rgb="FFE8F5E9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E0E0E0"/>
        <bgColor rgb="FFE3F2FD"/>
      </patternFill>
    </fill>
    <fill>
      <patternFill patternType="solid">
        <fgColor rgb="FFFFF3E0"/>
        <bgColor rgb="FFF5F5F5"/>
      </patternFill>
    </fill>
    <fill>
      <patternFill patternType="solid">
        <fgColor rgb="FFE9456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E0"/>
      <rgbColor rgb="FFE3F2FD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L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11" min="6" style="0" width="14"/>
    <col collapsed="false" customWidth="true" hidden="false" outlineLevel="0" max="12" min="12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6.8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</row>
    <row r="7" customFormat="false" ht="15" hidden="false" customHeight="false" outlineLevel="0" collapsed="false">
      <c r="A7" s="6"/>
      <c r="B7" s="7"/>
      <c r="C7" s="7"/>
      <c r="D7" s="8"/>
      <c r="E7" s="8"/>
      <c r="F7" s="6"/>
      <c r="G7" s="9"/>
      <c r="H7" s="10"/>
      <c r="I7" s="8"/>
      <c r="J7" s="7"/>
      <c r="K7" s="6"/>
      <c r="L7" s="7"/>
    </row>
    <row r="8" customFormat="false" ht="15" hidden="false" customHeight="false" outlineLevel="0" collapsed="false">
      <c r="A8" s="11"/>
      <c r="B8" s="12"/>
      <c r="C8" s="12"/>
      <c r="D8" s="13"/>
      <c r="E8" s="13"/>
      <c r="F8" s="11"/>
      <c r="G8" s="14"/>
      <c r="H8" s="15"/>
      <c r="I8" s="13"/>
      <c r="J8" s="12"/>
      <c r="K8" s="11"/>
      <c r="L8" s="12"/>
    </row>
    <row r="9" customFormat="false" ht="15" hidden="false" customHeight="false" outlineLevel="0" collapsed="false">
      <c r="A9" s="6"/>
      <c r="B9" s="7"/>
      <c r="C9" s="7"/>
      <c r="D9" s="8"/>
      <c r="E9" s="8"/>
      <c r="F9" s="6"/>
      <c r="G9" s="9"/>
      <c r="H9" s="10"/>
      <c r="I9" s="8"/>
      <c r="J9" s="7"/>
      <c r="K9" s="6"/>
      <c r="L9" s="7"/>
    </row>
    <row r="10" customFormat="false" ht="15" hidden="false" customHeight="false" outlineLevel="0" collapsed="false">
      <c r="A10" s="11"/>
      <c r="B10" s="12"/>
      <c r="C10" s="12"/>
      <c r="D10" s="13"/>
      <c r="E10" s="13"/>
      <c r="F10" s="11"/>
      <c r="G10" s="14"/>
      <c r="H10" s="15"/>
      <c r="I10" s="13"/>
      <c r="J10" s="12"/>
      <c r="K10" s="11"/>
      <c r="L10" s="12"/>
    </row>
    <row r="11" customFormat="false" ht="15" hidden="false" customHeight="false" outlineLevel="0" collapsed="false">
      <c r="A11" s="6"/>
      <c r="B11" s="7"/>
      <c r="C11" s="7"/>
      <c r="D11" s="8"/>
      <c r="E11" s="8"/>
      <c r="F11" s="6"/>
      <c r="G11" s="9"/>
      <c r="H11" s="10"/>
      <c r="I11" s="8"/>
      <c r="J11" s="7"/>
      <c r="K11" s="6"/>
      <c r="L11" s="7"/>
    </row>
    <row r="12" customFormat="false" ht="15" hidden="false" customHeight="false" outlineLevel="0" collapsed="false">
      <c r="A12" s="11"/>
      <c r="B12" s="12"/>
      <c r="C12" s="12"/>
      <c r="D12" s="13"/>
      <c r="E12" s="13"/>
      <c r="F12" s="11"/>
      <c r="G12" s="14"/>
      <c r="H12" s="15"/>
      <c r="I12" s="13"/>
      <c r="J12" s="12"/>
      <c r="K12" s="11"/>
      <c r="L12" s="12"/>
    </row>
    <row r="13" customFormat="false" ht="15" hidden="false" customHeight="false" outlineLevel="0" collapsed="false">
      <c r="A13" s="6"/>
      <c r="B13" s="7"/>
      <c r="C13" s="7"/>
      <c r="D13" s="8"/>
      <c r="E13" s="8"/>
      <c r="F13" s="6"/>
      <c r="G13" s="9"/>
      <c r="H13" s="10"/>
      <c r="I13" s="8"/>
      <c r="J13" s="7"/>
      <c r="K13" s="6"/>
      <c r="L13" s="7"/>
    </row>
    <row r="14" customFormat="false" ht="15" hidden="false" customHeight="false" outlineLevel="0" collapsed="false">
      <c r="A14" s="11"/>
      <c r="B14" s="12"/>
      <c r="C14" s="12"/>
      <c r="D14" s="13"/>
      <c r="E14" s="13"/>
      <c r="F14" s="11"/>
      <c r="G14" s="14"/>
      <c r="H14" s="15"/>
      <c r="I14" s="13"/>
      <c r="J14" s="12"/>
      <c r="K14" s="11"/>
      <c r="L14" s="12"/>
    </row>
    <row r="15" customFormat="false" ht="15" hidden="false" customHeight="false" outlineLevel="0" collapsed="false">
      <c r="A15" s="6"/>
      <c r="B15" s="7"/>
      <c r="C15" s="7"/>
      <c r="D15" s="8"/>
      <c r="E15" s="8"/>
      <c r="F15" s="6"/>
      <c r="G15" s="9"/>
      <c r="H15" s="10"/>
      <c r="I15" s="8"/>
      <c r="J15" s="7"/>
      <c r="K15" s="6"/>
      <c r="L15" s="7"/>
    </row>
    <row r="16" customFormat="false" ht="15" hidden="false" customHeight="false" outlineLevel="0" collapsed="false">
      <c r="A16" s="11"/>
      <c r="B16" s="12"/>
      <c r="C16" s="12"/>
      <c r="D16" s="13"/>
      <c r="E16" s="13"/>
      <c r="F16" s="11"/>
      <c r="G16" s="14"/>
      <c r="H16" s="15"/>
      <c r="I16" s="13"/>
      <c r="J16" s="12"/>
      <c r="K16" s="11"/>
      <c r="L16" s="12"/>
    </row>
    <row r="17" customFormat="false" ht="15" hidden="false" customHeight="false" outlineLevel="0" collapsed="false">
      <c r="A17" s="6"/>
      <c r="B17" s="7"/>
      <c r="C17" s="7"/>
      <c r="D17" s="8"/>
      <c r="E17" s="8"/>
      <c r="F17" s="6"/>
      <c r="G17" s="9"/>
      <c r="H17" s="10"/>
      <c r="I17" s="8"/>
      <c r="J17" s="7"/>
      <c r="K17" s="6"/>
      <c r="L17" s="7"/>
    </row>
    <row r="18" customFormat="false" ht="15" hidden="false" customHeight="false" outlineLevel="0" collapsed="false">
      <c r="A18" s="11"/>
      <c r="B18" s="12"/>
      <c r="C18" s="12"/>
      <c r="D18" s="13"/>
      <c r="E18" s="13"/>
      <c r="F18" s="11"/>
      <c r="G18" s="14"/>
      <c r="H18" s="15"/>
      <c r="I18" s="13"/>
      <c r="J18" s="12"/>
      <c r="K18" s="11"/>
      <c r="L18" s="12"/>
    </row>
    <row r="19" customFormat="false" ht="15" hidden="false" customHeight="false" outlineLevel="0" collapsed="false">
      <c r="A19" s="6"/>
      <c r="B19" s="7"/>
      <c r="C19" s="7"/>
      <c r="D19" s="8"/>
      <c r="E19" s="8"/>
      <c r="F19" s="6"/>
      <c r="G19" s="9"/>
      <c r="H19" s="10"/>
      <c r="I19" s="8"/>
      <c r="J19" s="7"/>
      <c r="K19" s="6"/>
      <c r="L19" s="7"/>
    </row>
    <row r="20" customFormat="false" ht="15" hidden="false" customHeight="false" outlineLevel="0" collapsed="false">
      <c r="A20" s="11"/>
      <c r="B20" s="12"/>
      <c r="C20" s="12"/>
      <c r="D20" s="13"/>
      <c r="E20" s="13"/>
      <c r="F20" s="11"/>
      <c r="G20" s="14"/>
      <c r="H20" s="15"/>
      <c r="I20" s="13"/>
      <c r="J20" s="12"/>
      <c r="K20" s="11"/>
      <c r="L20" s="12"/>
    </row>
    <row r="21" customFormat="false" ht="15" hidden="false" customHeight="false" outlineLevel="0" collapsed="false">
      <c r="A21" s="6"/>
      <c r="B21" s="7"/>
      <c r="C21" s="7"/>
      <c r="D21" s="8"/>
      <c r="E21" s="8"/>
      <c r="F21" s="6"/>
      <c r="G21" s="9"/>
      <c r="H21" s="10"/>
      <c r="I21" s="8"/>
      <c r="J21" s="7"/>
      <c r="K21" s="6"/>
      <c r="L21" s="7"/>
    </row>
    <row r="22" customFormat="false" ht="15" hidden="false" customHeight="false" outlineLevel="0" collapsed="false">
      <c r="A22" s="11"/>
      <c r="B22" s="12"/>
      <c r="C22" s="12"/>
      <c r="D22" s="13"/>
      <c r="E22" s="13"/>
      <c r="F22" s="11"/>
      <c r="G22" s="14"/>
      <c r="H22" s="15"/>
      <c r="I22" s="13"/>
      <c r="J22" s="12"/>
      <c r="K22" s="11"/>
      <c r="L22" s="12"/>
    </row>
    <row r="23" customFormat="false" ht="15" hidden="false" customHeight="false" outlineLevel="0" collapsed="false">
      <c r="A23" s="6"/>
      <c r="B23" s="7"/>
      <c r="C23" s="7"/>
      <c r="D23" s="8"/>
      <c r="E23" s="8"/>
      <c r="F23" s="6"/>
      <c r="G23" s="9"/>
      <c r="H23" s="10"/>
      <c r="I23" s="8"/>
      <c r="J23" s="7"/>
      <c r="K23" s="6"/>
      <c r="L23" s="7"/>
    </row>
    <row r="24" customFormat="false" ht="15" hidden="false" customHeight="false" outlineLevel="0" collapsed="false">
      <c r="A24" s="11"/>
      <c r="B24" s="12"/>
      <c r="C24" s="12"/>
      <c r="D24" s="13"/>
      <c r="E24" s="13"/>
      <c r="F24" s="11"/>
      <c r="G24" s="14"/>
      <c r="H24" s="15"/>
      <c r="I24" s="13"/>
      <c r="J24" s="12"/>
      <c r="K24" s="11"/>
      <c r="L24" s="12"/>
    </row>
    <row r="25" customFormat="false" ht="15" hidden="false" customHeight="false" outlineLevel="0" collapsed="false">
      <c r="A25" s="6"/>
      <c r="B25" s="7"/>
      <c r="C25" s="7"/>
      <c r="D25" s="8"/>
      <c r="E25" s="8"/>
      <c r="F25" s="6"/>
      <c r="G25" s="9"/>
      <c r="H25" s="10"/>
      <c r="I25" s="8"/>
      <c r="J25" s="7"/>
      <c r="K25" s="6"/>
      <c r="L25" s="7"/>
    </row>
    <row r="26" customFormat="false" ht="15" hidden="false" customHeight="false" outlineLevel="0" collapsed="false">
      <c r="A26" s="11"/>
      <c r="B26" s="12"/>
      <c r="C26" s="12"/>
      <c r="D26" s="13"/>
      <c r="E26" s="13"/>
      <c r="F26" s="11"/>
      <c r="G26" s="14"/>
      <c r="H26" s="15"/>
      <c r="I26" s="13"/>
      <c r="J26" s="12"/>
      <c r="K26" s="11"/>
      <c r="L26" s="12"/>
    </row>
    <row r="27" customFormat="false" ht="15" hidden="false" customHeight="false" outlineLevel="0" collapsed="false">
      <c r="A27" s="6"/>
      <c r="B27" s="7"/>
      <c r="C27" s="7"/>
      <c r="D27" s="8"/>
      <c r="E27" s="8"/>
      <c r="F27" s="6"/>
      <c r="G27" s="9"/>
      <c r="H27" s="10"/>
      <c r="I27" s="8"/>
      <c r="J27" s="7"/>
      <c r="K27" s="6"/>
      <c r="L27" s="7"/>
    </row>
    <row r="28" customFormat="false" ht="15" hidden="false" customHeight="false" outlineLevel="0" collapsed="false">
      <c r="A28" s="11"/>
      <c r="B28" s="12"/>
      <c r="C28" s="12"/>
      <c r="D28" s="13"/>
      <c r="E28" s="13"/>
      <c r="F28" s="11"/>
      <c r="G28" s="14"/>
      <c r="H28" s="15"/>
      <c r="I28" s="13"/>
      <c r="J28" s="12"/>
      <c r="K28" s="11"/>
      <c r="L28" s="12"/>
    </row>
    <row r="29" customFormat="false" ht="15" hidden="false" customHeight="false" outlineLevel="0" collapsed="false">
      <c r="A29" s="6"/>
      <c r="B29" s="7"/>
      <c r="C29" s="7"/>
      <c r="D29" s="8"/>
      <c r="E29" s="8"/>
      <c r="F29" s="6"/>
      <c r="G29" s="9"/>
      <c r="H29" s="10"/>
      <c r="I29" s="8"/>
      <c r="J29" s="7"/>
      <c r="K29" s="6"/>
      <c r="L29" s="7"/>
    </row>
    <row r="30" customFormat="false" ht="15" hidden="false" customHeight="false" outlineLevel="0" collapsed="false">
      <c r="A30" s="11"/>
      <c r="B30" s="12"/>
      <c r="C30" s="12"/>
      <c r="D30" s="13"/>
      <c r="E30" s="13"/>
      <c r="F30" s="11"/>
      <c r="G30" s="14"/>
      <c r="H30" s="15"/>
      <c r="I30" s="13"/>
      <c r="J30" s="12"/>
      <c r="K30" s="11"/>
      <c r="L30" s="12"/>
    </row>
    <row r="31" customFormat="false" ht="15" hidden="false" customHeight="false" outlineLevel="0" collapsed="false">
      <c r="A31" s="6"/>
      <c r="B31" s="7"/>
      <c r="C31" s="7"/>
      <c r="D31" s="8"/>
      <c r="E31" s="8"/>
      <c r="F31" s="6"/>
      <c r="G31" s="9"/>
      <c r="H31" s="10"/>
      <c r="I31" s="8"/>
      <c r="J31" s="7"/>
      <c r="K31" s="6"/>
      <c r="L31" s="7"/>
    </row>
    <row r="32" customFormat="false" ht="15" hidden="false" customHeight="false" outlineLevel="0" collapsed="false">
      <c r="A32" s="11"/>
      <c r="B32" s="12"/>
      <c r="C32" s="12"/>
      <c r="D32" s="13"/>
      <c r="E32" s="13"/>
      <c r="F32" s="11"/>
      <c r="G32" s="14"/>
      <c r="H32" s="15"/>
      <c r="I32" s="13"/>
      <c r="J32" s="12"/>
      <c r="K32" s="11"/>
      <c r="L32" s="12"/>
    </row>
    <row r="33" customFormat="false" ht="15" hidden="false" customHeight="false" outlineLevel="0" collapsed="false">
      <c r="A33" s="6"/>
      <c r="B33" s="7"/>
      <c r="C33" s="7"/>
      <c r="D33" s="8"/>
      <c r="E33" s="8"/>
      <c r="F33" s="6"/>
      <c r="G33" s="9"/>
      <c r="H33" s="10"/>
      <c r="I33" s="8"/>
      <c r="J33" s="7"/>
      <c r="K33" s="6"/>
      <c r="L33" s="7"/>
    </row>
    <row r="34" customFormat="false" ht="15" hidden="false" customHeight="false" outlineLevel="0" collapsed="false">
      <c r="A34" s="11"/>
      <c r="B34" s="12"/>
      <c r="C34" s="12"/>
      <c r="D34" s="13"/>
      <c r="E34" s="13"/>
      <c r="F34" s="11"/>
      <c r="G34" s="14"/>
      <c r="H34" s="15"/>
      <c r="I34" s="13"/>
      <c r="J34" s="12"/>
      <c r="K34" s="11"/>
      <c r="L34" s="12"/>
    </row>
    <row r="35" customFormat="false" ht="15" hidden="false" customHeight="false" outlineLevel="0" collapsed="false">
      <c r="A35" s="6"/>
      <c r="B35" s="7"/>
      <c r="C35" s="7"/>
      <c r="D35" s="8"/>
      <c r="E35" s="8"/>
      <c r="F35" s="6"/>
      <c r="G35" s="9"/>
      <c r="H35" s="10"/>
      <c r="I35" s="8"/>
      <c r="J35" s="7"/>
      <c r="K35" s="6"/>
      <c r="L35" s="7"/>
    </row>
    <row r="36" customFormat="false" ht="15" hidden="false" customHeight="false" outlineLevel="0" collapsed="false">
      <c r="A36" s="11"/>
      <c r="B36" s="12"/>
      <c r="C36" s="12"/>
      <c r="D36" s="13"/>
      <c r="E36" s="13"/>
      <c r="F36" s="11"/>
      <c r="G36" s="14"/>
      <c r="H36" s="15"/>
      <c r="I36" s="13"/>
      <c r="J36" s="12"/>
      <c r="K36" s="11"/>
      <c r="L36" s="12"/>
    </row>
    <row r="37" customFormat="false" ht="15" hidden="false" customHeight="false" outlineLevel="0" collapsed="false">
      <c r="A37" s="6"/>
      <c r="B37" s="7"/>
      <c r="C37" s="7"/>
      <c r="D37" s="8"/>
      <c r="E37" s="8"/>
      <c r="F37" s="6"/>
      <c r="G37" s="9"/>
      <c r="H37" s="10"/>
      <c r="I37" s="8"/>
      <c r="J37" s="7"/>
      <c r="K37" s="6"/>
      <c r="L37" s="7"/>
    </row>
    <row r="38" customFormat="false" ht="15" hidden="false" customHeight="false" outlineLevel="0" collapsed="false">
      <c r="A38" s="11"/>
      <c r="B38" s="12"/>
      <c r="C38" s="12"/>
      <c r="D38" s="13"/>
      <c r="E38" s="13"/>
      <c r="F38" s="11"/>
      <c r="G38" s="14"/>
      <c r="H38" s="15"/>
      <c r="I38" s="13"/>
      <c r="J38" s="12"/>
      <c r="K38" s="11"/>
      <c r="L38" s="12"/>
    </row>
    <row r="39" customFormat="false" ht="15" hidden="false" customHeight="false" outlineLevel="0" collapsed="false">
      <c r="A39" s="6"/>
      <c r="B39" s="7"/>
      <c r="C39" s="7"/>
      <c r="D39" s="8"/>
      <c r="E39" s="8"/>
      <c r="F39" s="6"/>
      <c r="G39" s="9"/>
      <c r="H39" s="10"/>
      <c r="I39" s="8"/>
      <c r="J39" s="7"/>
      <c r="K39" s="6"/>
      <c r="L39" s="7"/>
    </row>
    <row r="40" customFormat="false" ht="15" hidden="false" customHeight="false" outlineLevel="0" collapsed="false">
      <c r="A40" s="11"/>
      <c r="B40" s="12"/>
      <c r="C40" s="12"/>
      <c r="D40" s="13"/>
      <c r="E40" s="13"/>
      <c r="F40" s="11"/>
      <c r="G40" s="14"/>
      <c r="H40" s="15"/>
      <c r="I40" s="13"/>
      <c r="J40" s="12"/>
      <c r="K40" s="11"/>
      <c r="L40" s="12"/>
    </row>
    <row r="41" customFormat="false" ht="15" hidden="false" customHeight="false" outlineLevel="0" collapsed="false">
      <c r="A41" s="6"/>
      <c r="B41" s="7"/>
      <c r="C41" s="7"/>
      <c r="D41" s="8"/>
      <c r="E41" s="8"/>
      <c r="F41" s="6"/>
      <c r="G41" s="9"/>
      <c r="H41" s="10"/>
      <c r="I41" s="8"/>
      <c r="J41" s="7"/>
      <c r="K41" s="6"/>
      <c r="L41" s="7"/>
    </row>
    <row r="43" customFormat="false" ht="15" hidden="false" customHeight="true" outlineLevel="0" collapsed="false">
      <c r="A43" s="4" t="s">
        <v>16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5" hidden="false" customHeight="true" outlineLevel="0" collapsed="false">
      <c r="A44" s="16" t="s">
        <v>17</v>
      </c>
      <c r="B44" s="16"/>
      <c r="C44" s="16"/>
      <c r="D44" s="16"/>
      <c r="E44" s="17" t="n">
        <f aca="false">COUNTA(B7:B41)</f>
        <v>0</v>
      </c>
      <c r="F44" s="18"/>
      <c r="G44" s="18"/>
      <c r="H44" s="18"/>
      <c r="I44" s="18"/>
      <c r="J44" s="18"/>
      <c r="K44" s="18"/>
      <c r="L44" s="18"/>
    </row>
    <row r="45" customFormat="false" ht="15" hidden="false" customHeight="true" outlineLevel="0" collapsed="false">
      <c r="A45" s="19" t="s">
        <v>18</v>
      </c>
      <c r="B45" s="19"/>
      <c r="C45" s="19"/>
      <c r="D45" s="19"/>
      <c r="E45" s="20" t="n">
        <f aca="false">SUM(H7:H41)</f>
        <v>0</v>
      </c>
      <c r="F45" s="21"/>
      <c r="G45" s="21"/>
      <c r="H45" s="21"/>
      <c r="I45" s="21"/>
      <c r="J45" s="21"/>
      <c r="K45" s="21"/>
      <c r="L45" s="21"/>
    </row>
    <row r="46" customFormat="false" ht="15" hidden="false" customHeight="true" outlineLevel="0" collapsed="false">
      <c r="A46" s="16" t="s">
        <v>19</v>
      </c>
      <c r="B46" s="16"/>
      <c r="C46" s="16"/>
      <c r="D46" s="16"/>
      <c r="E46" s="18"/>
      <c r="F46" s="18"/>
      <c r="G46" s="18"/>
      <c r="H46" s="18"/>
      <c r="I46" s="18"/>
      <c r="J46" s="18"/>
      <c r="K46" s="18"/>
      <c r="L46" s="18"/>
    </row>
    <row r="47" customFormat="false" ht="15" hidden="false" customHeight="true" outlineLevel="0" collapsed="false">
      <c r="A47" s="22" t="s">
        <v>20</v>
      </c>
      <c r="B47" s="22"/>
      <c r="C47" s="22"/>
      <c r="D47" s="22"/>
      <c r="E47" s="23" t="n">
        <f aca="false">COUNTIF(I7:I41,"New Inquiry")</f>
        <v>0</v>
      </c>
      <c r="F47" s="22"/>
      <c r="G47" s="22"/>
      <c r="H47" s="22"/>
      <c r="I47" s="22"/>
      <c r="J47" s="22"/>
      <c r="K47" s="22"/>
      <c r="L47" s="22"/>
    </row>
    <row r="48" customFormat="false" ht="15" hidden="false" customHeight="true" outlineLevel="0" collapsed="false">
      <c r="A48" s="22" t="s">
        <v>21</v>
      </c>
      <c r="B48" s="22"/>
      <c r="C48" s="22"/>
      <c r="D48" s="22"/>
      <c r="E48" s="23" t="n">
        <f aca="false">COUNTIF(I7:I41,"Responded")</f>
        <v>0</v>
      </c>
      <c r="F48" s="22"/>
      <c r="G48" s="22"/>
      <c r="H48" s="22"/>
      <c r="I48" s="22"/>
      <c r="J48" s="22"/>
      <c r="K48" s="22"/>
      <c r="L48" s="22"/>
    </row>
    <row r="49" customFormat="false" ht="15" hidden="false" customHeight="true" outlineLevel="0" collapsed="false">
      <c r="A49" s="22" t="s">
        <v>22</v>
      </c>
      <c r="B49" s="22"/>
      <c r="C49" s="22"/>
      <c r="D49" s="22"/>
      <c r="E49" s="23" t="n">
        <f aca="false">COUNTIF(I7:I41,"Quote Sent")</f>
        <v>0</v>
      </c>
      <c r="F49" s="22"/>
      <c r="G49" s="22"/>
      <c r="H49" s="22"/>
      <c r="I49" s="22"/>
      <c r="J49" s="22"/>
      <c r="K49" s="22"/>
      <c r="L49" s="22"/>
    </row>
    <row r="50" customFormat="false" ht="15" hidden="false" customHeight="true" outlineLevel="0" collapsed="false">
      <c r="A50" s="22" t="s">
        <v>23</v>
      </c>
      <c r="B50" s="22"/>
      <c r="C50" s="22"/>
      <c r="D50" s="22"/>
      <c r="E50" s="23" t="n">
        <f aca="false">COUNTIF(I7:I41,"Follow-Up 1")</f>
        <v>0</v>
      </c>
      <c r="F50" s="22"/>
      <c r="G50" s="22"/>
      <c r="H50" s="22"/>
      <c r="I50" s="22"/>
      <c r="J50" s="22"/>
      <c r="K50" s="22"/>
      <c r="L50" s="22"/>
    </row>
    <row r="51" customFormat="false" ht="15" hidden="false" customHeight="true" outlineLevel="0" collapsed="false">
      <c r="A51" s="22" t="s">
        <v>24</v>
      </c>
      <c r="B51" s="22"/>
      <c r="C51" s="22"/>
      <c r="D51" s="22"/>
      <c r="E51" s="23" t="n">
        <f aca="false">COUNTIF(I7:I41,"Follow-Up 2")</f>
        <v>0</v>
      </c>
      <c r="F51" s="22"/>
      <c r="G51" s="22"/>
      <c r="H51" s="22"/>
      <c r="I51" s="22"/>
      <c r="J51" s="22"/>
      <c r="K51" s="22"/>
      <c r="L51" s="22"/>
    </row>
    <row r="52" customFormat="false" ht="15" hidden="false" customHeight="true" outlineLevel="0" collapsed="false">
      <c r="A52" s="22" t="s">
        <v>25</v>
      </c>
      <c r="B52" s="22"/>
      <c r="C52" s="22"/>
      <c r="D52" s="22"/>
      <c r="E52" s="23" t="n">
        <f aca="false">COUNTIF(I7:I41,"Deposit Received")</f>
        <v>0</v>
      </c>
      <c r="F52" s="22"/>
      <c r="G52" s="22"/>
      <c r="H52" s="22"/>
      <c r="I52" s="22"/>
      <c r="J52" s="22"/>
      <c r="K52" s="22"/>
      <c r="L52" s="22"/>
    </row>
    <row r="53" customFormat="false" ht="15" hidden="false" customHeight="true" outlineLevel="0" collapsed="false">
      <c r="A53" s="22" t="s">
        <v>26</v>
      </c>
      <c r="B53" s="22"/>
      <c r="C53" s="22"/>
      <c r="D53" s="22"/>
      <c r="E53" s="23" t="n">
        <f aca="false">COUNTIF(I7:I41,"Confirmed")</f>
        <v>0</v>
      </c>
      <c r="F53" s="22"/>
      <c r="G53" s="22"/>
      <c r="H53" s="22"/>
      <c r="I53" s="22"/>
      <c r="J53" s="22"/>
      <c r="K53" s="22"/>
      <c r="L53" s="22"/>
    </row>
    <row r="54" customFormat="false" ht="15" hidden="false" customHeight="true" outlineLevel="0" collapsed="false">
      <c r="A54" s="22" t="s">
        <v>27</v>
      </c>
      <c r="B54" s="22"/>
      <c r="C54" s="22"/>
      <c r="D54" s="22"/>
      <c r="E54" s="23" t="n">
        <f aca="false">COUNTIF(I7:I41,"Lost")</f>
        <v>0</v>
      </c>
      <c r="F54" s="22"/>
      <c r="G54" s="22"/>
      <c r="H54" s="22"/>
      <c r="I54" s="22"/>
      <c r="J54" s="22"/>
      <c r="K54" s="22"/>
      <c r="L54" s="22"/>
    </row>
    <row r="55" customFormat="false" ht="15" hidden="false" customHeight="false" outlineLevel="0" collapsed="false">
      <c r="A55" s="19"/>
      <c r="B55" s="19"/>
      <c r="C55" s="19"/>
      <c r="D55" s="19"/>
      <c r="E55" s="21"/>
      <c r="F55" s="21"/>
      <c r="G55" s="21"/>
      <c r="H55" s="21"/>
      <c r="I55" s="21"/>
      <c r="J55" s="21"/>
      <c r="K55" s="21"/>
      <c r="L55" s="21"/>
    </row>
    <row r="56" customFormat="false" ht="15" hidden="false" customHeight="true" outlineLevel="0" collapsed="false">
      <c r="A56" s="24" t="s">
        <v>28</v>
      </c>
      <c r="B56" s="24"/>
      <c r="C56" s="24"/>
      <c r="D56" s="24"/>
      <c r="E56" s="25" t="n">
        <f aca="false">SUMPRODUCT((I7:I41="Confirmed")*H7:H41)+(SUMPRODUCT((I7:I41="Deposit Received")*H7:H41))</f>
        <v>0</v>
      </c>
      <c r="F56" s="26"/>
      <c r="G56" s="26"/>
      <c r="H56" s="26"/>
      <c r="I56" s="26"/>
      <c r="J56" s="26"/>
      <c r="K56" s="26"/>
      <c r="L56" s="26"/>
    </row>
    <row r="57" customFormat="false" ht="15" hidden="false" customHeight="true" outlineLevel="0" collapsed="false">
      <c r="A57" s="24" t="s">
        <v>29</v>
      </c>
      <c r="B57" s="24"/>
      <c r="C57" s="24"/>
      <c r="D57" s="24"/>
      <c r="E57" s="27" t="n">
        <f aca="false">IFERROR((COUNTIF(I7:I41,"Confirmed")+COUNTIF(I7:I41,"Deposit Received"))/COUNTA(B7:B41),0)</f>
        <v>0</v>
      </c>
      <c r="F57" s="26"/>
      <c r="G57" s="26"/>
      <c r="H57" s="26"/>
      <c r="I57" s="26"/>
      <c r="J57" s="26"/>
      <c r="K57" s="26"/>
      <c r="L57" s="26"/>
    </row>
    <row r="58" customFormat="false" ht="15" hidden="false" customHeight="true" outlineLevel="0" collapsed="false">
      <c r="A58" s="16" t="s">
        <v>30</v>
      </c>
      <c r="B58" s="16"/>
      <c r="C58" s="16"/>
      <c r="D58" s="16"/>
      <c r="E58" s="28" t="n">
        <f aca="false">IFERROR(AVERAGE(H7:H41),0)</f>
        <v>0</v>
      </c>
      <c r="F58" s="18"/>
      <c r="G58" s="18"/>
      <c r="H58" s="18"/>
      <c r="I58" s="18"/>
      <c r="J58" s="18"/>
      <c r="K58" s="18"/>
      <c r="L58" s="18"/>
    </row>
    <row r="59" customFormat="false" ht="15" hidden="false" customHeight="true" outlineLevel="0" collapsed="false">
      <c r="A59" s="19" t="s">
        <v>31</v>
      </c>
      <c r="B59" s="19"/>
      <c r="C59" s="19"/>
      <c r="D59" s="19"/>
      <c r="E59" s="21"/>
      <c r="F59" s="21"/>
      <c r="G59" s="21"/>
      <c r="H59" s="21"/>
      <c r="I59" s="21"/>
      <c r="J59" s="21"/>
      <c r="K59" s="21"/>
      <c r="L59" s="21"/>
    </row>
    <row r="62" customFormat="false" ht="15" hidden="false" customHeight="true" outlineLevel="0" collapsed="false">
      <c r="A62" s="4" t="s">
        <v>32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23.85" hidden="false" customHeight="false" outlineLevel="0" collapsed="false">
      <c r="A63" s="29" t="s">
        <v>7</v>
      </c>
      <c r="B63" s="29" t="s">
        <v>33</v>
      </c>
      <c r="C63" s="29" t="s">
        <v>34</v>
      </c>
      <c r="D63" s="29" t="s">
        <v>35</v>
      </c>
      <c r="E63" s="29" t="s">
        <v>36</v>
      </c>
      <c r="F63" s="29" t="s">
        <v>37</v>
      </c>
      <c r="G63" s="29" t="s">
        <v>38</v>
      </c>
      <c r="H63" s="29" t="s">
        <v>39</v>
      </c>
      <c r="I63" s="29"/>
      <c r="J63" s="29"/>
      <c r="K63" s="29"/>
      <c r="L63" s="29"/>
    </row>
    <row r="64" customFormat="false" ht="15" hidden="false" customHeight="false" outlineLevel="0" collapsed="false">
      <c r="A64" s="16" t="s">
        <v>40</v>
      </c>
      <c r="B64" s="9"/>
      <c r="C64" s="9"/>
      <c r="D64" s="9"/>
      <c r="E64" s="10"/>
      <c r="F64" s="30" t="n">
        <f aca="false">IF(B64&gt;0,D64/B64,0)</f>
        <v>0</v>
      </c>
      <c r="G64" s="10"/>
      <c r="H64" s="31" t="n">
        <f aca="false">IF(G64&gt;0,E64/G64,0)</f>
        <v>0</v>
      </c>
      <c r="I64" s="18"/>
      <c r="J64" s="18"/>
      <c r="K64" s="18"/>
      <c r="L64" s="18"/>
    </row>
    <row r="65" customFormat="false" ht="15" hidden="false" customHeight="false" outlineLevel="0" collapsed="false">
      <c r="A65" s="19" t="s">
        <v>41</v>
      </c>
      <c r="B65" s="14"/>
      <c r="C65" s="14"/>
      <c r="D65" s="14"/>
      <c r="E65" s="15"/>
      <c r="F65" s="32" t="n">
        <f aca="false">IF(B65&gt;0,D65/B65,0)</f>
        <v>0</v>
      </c>
      <c r="G65" s="15"/>
      <c r="H65" s="33" t="n">
        <f aca="false">IF(G65&gt;0,E65/G65,0)</f>
        <v>0</v>
      </c>
      <c r="I65" s="21"/>
      <c r="J65" s="21"/>
      <c r="K65" s="21"/>
      <c r="L65" s="21"/>
    </row>
    <row r="66" customFormat="false" ht="15" hidden="false" customHeight="false" outlineLevel="0" collapsed="false">
      <c r="A66" s="16" t="s">
        <v>42</v>
      </c>
      <c r="B66" s="9"/>
      <c r="C66" s="9"/>
      <c r="D66" s="9"/>
      <c r="E66" s="10"/>
      <c r="F66" s="30" t="n">
        <f aca="false">IF(B66&gt;0,D66/B66,0)</f>
        <v>0</v>
      </c>
      <c r="G66" s="10"/>
      <c r="H66" s="31" t="n">
        <f aca="false">IF(G66&gt;0,E66/G66,0)</f>
        <v>0</v>
      </c>
      <c r="I66" s="18"/>
      <c r="J66" s="18"/>
      <c r="K66" s="18"/>
      <c r="L66" s="18"/>
    </row>
    <row r="67" customFormat="false" ht="15" hidden="false" customHeight="false" outlineLevel="0" collapsed="false">
      <c r="A67" s="19" t="s">
        <v>43</v>
      </c>
      <c r="B67" s="14"/>
      <c r="C67" s="14"/>
      <c r="D67" s="14"/>
      <c r="E67" s="15"/>
      <c r="F67" s="32" t="n">
        <f aca="false">IF(B67&gt;0,D67/B67,0)</f>
        <v>0</v>
      </c>
      <c r="G67" s="15"/>
      <c r="H67" s="33" t="n">
        <f aca="false">IF(G67&gt;0,E67/G67,0)</f>
        <v>0</v>
      </c>
      <c r="I67" s="21"/>
      <c r="J67" s="21"/>
      <c r="K67" s="21"/>
      <c r="L67" s="21"/>
    </row>
    <row r="68" customFormat="false" ht="15" hidden="false" customHeight="false" outlineLevel="0" collapsed="false">
      <c r="A68" s="16" t="s">
        <v>44</v>
      </c>
      <c r="B68" s="9"/>
      <c r="C68" s="9"/>
      <c r="D68" s="9"/>
      <c r="E68" s="10"/>
      <c r="F68" s="30" t="n">
        <f aca="false">IF(B68&gt;0,D68/B68,0)</f>
        <v>0</v>
      </c>
      <c r="G68" s="10"/>
      <c r="H68" s="31" t="n">
        <f aca="false">IF(G68&gt;0,E68/G68,0)</f>
        <v>0</v>
      </c>
      <c r="I68" s="18"/>
      <c r="J68" s="18"/>
      <c r="K68" s="18"/>
      <c r="L68" s="18"/>
    </row>
    <row r="69" customFormat="false" ht="15" hidden="false" customHeight="false" outlineLevel="0" collapsed="false">
      <c r="A69" s="19" t="s">
        <v>45</v>
      </c>
      <c r="B69" s="14"/>
      <c r="C69" s="14"/>
      <c r="D69" s="14"/>
      <c r="E69" s="15"/>
      <c r="F69" s="32" t="n">
        <f aca="false">IF(B69&gt;0,D69/B69,0)</f>
        <v>0</v>
      </c>
      <c r="G69" s="15"/>
      <c r="H69" s="33" t="n">
        <f aca="false">IF(G69&gt;0,E69/G69,0)</f>
        <v>0</v>
      </c>
      <c r="I69" s="21"/>
      <c r="J69" s="21"/>
      <c r="K69" s="21"/>
      <c r="L69" s="21"/>
    </row>
    <row r="70" customFormat="false" ht="15" hidden="false" customHeight="false" outlineLevel="0" collapsed="false">
      <c r="A70" s="16" t="s">
        <v>46</v>
      </c>
      <c r="B70" s="9"/>
      <c r="C70" s="9"/>
      <c r="D70" s="9"/>
      <c r="E70" s="10"/>
      <c r="F70" s="30" t="n">
        <f aca="false">IF(B70&gt;0,D70/B70,0)</f>
        <v>0</v>
      </c>
      <c r="G70" s="10"/>
      <c r="H70" s="31" t="n">
        <f aca="false">IF(G70&gt;0,E70/G70,0)</f>
        <v>0</v>
      </c>
      <c r="I70" s="18"/>
      <c r="J70" s="18"/>
      <c r="K70" s="18"/>
      <c r="L70" s="18"/>
    </row>
    <row r="71" customFormat="false" ht="15" hidden="false" customHeight="false" outlineLevel="0" collapsed="false">
      <c r="A71" s="19" t="s">
        <v>47</v>
      </c>
      <c r="B71" s="14"/>
      <c r="C71" s="14"/>
      <c r="D71" s="14"/>
      <c r="E71" s="15"/>
      <c r="F71" s="32" t="n">
        <f aca="false">IF(B71&gt;0,D71/B71,0)</f>
        <v>0</v>
      </c>
      <c r="G71" s="15"/>
      <c r="H71" s="33" t="n">
        <f aca="false">IF(G71&gt;0,E71/G71,0)</f>
        <v>0</v>
      </c>
      <c r="I71" s="21"/>
      <c r="J71" s="21"/>
      <c r="K71" s="21"/>
      <c r="L71" s="21"/>
    </row>
    <row r="72" customFormat="false" ht="15" hidden="false" customHeight="false" outlineLevel="0" collapsed="false">
      <c r="A72" s="16" t="s">
        <v>48</v>
      </c>
      <c r="B72" s="9"/>
      <c r="C72" s="9"/>
      <c r="D72" s="9"/>
      <c r="E72" s="10"/>
      <c r="F72" s="30" t="n">
        <f aca="false">IF(B72&gt;0,D72/B72,0)</f>
        <v>0</v>
      </c>
      <c r="G72" s="10"/>
      <c r="H72" s="31" t="n">
        <f aca="false">IF(G72&gt;0,E72/G72,0)</f>
        <v>0</v>
      </c>
      <c r="I72" s="18"/>
      <c r="J72" s="18"/>
      <c r="K72" s="18"/>
      <c r="L72" s="18"/>
    </row>
    <row r="73" customFormat="false" ht="15" hidden="false" customHeight="false" outlineLevel="0" collapsed="false">
      <c r="A73" s="19" t="s">
        <v>49</v>
      </c>
      <c r="B73" s="14"/>
      <c r="C73" s="14"/>
      <c r="D73" s="14"/>
      <c r="E73" s="15"/>
      <c r="F73" s="32" t="n">
        <f aca="false">IF(B73&gt;0,D73/B73,0)</f>
        <v>0</v>
      </c>
      <c r="G73" s="15"/>
      <c r="H73" s="33" t="n">
        <f aca="false">IF(G73&gt;0,E73/G73,0)</f>
        <v>0</v>
      </c>
      <c r="I73" s="21"/>
      <c r="J73" s="21"/>
      <c r="K73" s="21"/>
      <c r="L73" s="21"/>
    </row>
    <row r="75" customFormat="false" ht="15" hidden="false" customHeight="true" outlineLevel="0" collapsed="false">
      <c r="A75" s="34" t="s">
        <v>50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</sheetData>
  <mergeCells count="23">
    <mergeCell ref="A1:L1"/>
    <mergeCell ref="A2:L2"/>
    <mergeCell ref="A3:L3"/>
    <mergeCell ref="A5:L5"/>
    <mergeCell ref="A43:L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2:L62"/>
    <mergeCell ref="A75:L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9" min="3" style="0" width="14"/>
    <col collapsed="false" customWidth="true" hidden="false" outlineLevel="0" max="10" min="10" style="0" width="22"/>
  </cols>
  <sheetData>
    <row r="1" customFormat="false" ht="30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A4" s="4" t="s">
        <v>53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26.85" hidden="false" customHeight="false" outlineLevel="0" collapsed="false">
      <c r="A5" s="5" t="s">
        <v>5</v>
      </c>
      <c r="B5" s="5" t="s">
        <v>9</v>
      </c>
      <c r="C5" s="5" t="s">
        <v>54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59</v>
      </c>
      <c r="I5" s="5" t="s">
        <v>60</v>
      </c>
      <c r="J5" s="5" t="s">
        <v>15</v>
      </c>
    </row>
    <row r="6" customFormat="false" ht="15" hidden="false" customHeight="false" outlineLevel="0" collapsed="false">
      <c r="A6" s="7"/>
      <c r="B6" s="6"/>
      <c r="C6" s="8"/>
      <c r="D6" s="8"/>
      <c r="E6" s="8"/>
      <c r="F6" s="8"/>
      <c r="G6" s="8"/>
      <c r="H6" s="8"/>
      <c r="I6" s="8"/>
      <c r="J6" s="7"/>
    </row>
    <row r="7" customFormat="false" ht="15" hidden="false" customHeight="false" outlineLevel="0" collapsed="false">
      <c r="A7" s="12"/>
      <c r="B7" s="11"/>
      <c r="C7" s="13"/>
      <c r="D7" s="13"/>
      <c r="E7" s="13"/>
      <c r="F7" s="13"/>
      <c r="G7" s="13"/>
      <c r="H7" s="13"/>
      <c r="I7" s="13"/>
      <c r="J7" s="12"/>
    </row>
    <row r="8" customFormat="false" ht="15" hidden="false" customHeight="false" outlineLevel="0" collapsed="false">
      <c r="A8" s="7"/>
      <c r="B8" s="6"/>
      <c r="C8" s="8"/>
      <c r="D8" s="8"/>
      <c r="E8" s="8"/>
      <c r="F8" s="8"/>
      <c r="G8" s="8"/>
      <c r="H8" s="8"/>
      <c r="I8" s="8"/>
      <c r="J8" s="7"/>
    </row>
    <row r="9" customFormat="false" ht="15" hidden="false" customHeight="false" outlineLevel="0" collapsed="false">
      <c r="A9" s="12"/>
      <c r="B9" s="11"/>
      <c r="C9" s="13"/>
      <c r="D9" s="13"/>
      <c r="E9" s="13"/>
      <c r="F9" s="13"/>
      <c r="G9" s="13"/>
      <c r="H9" s="13"/>
      <c r="I9" s="13"/>
      <c r="J9" s="12"/>
    </row>
    <row r="10" customFormat="false" ht="15" hidden="false" customHeight="false" outlineLevel="0" collapsed="false">
      <c r="A10" s="7"/>
      <c r="B10" s="6"/>
      <c r="C10" s="8"/>
      <c r="D10" s="8"/>
      <c r="E10" s="8"/>
      <c r="F10" s="8"/>
      <c r="G10" s="8"/>
      <c r="H10" s="8"/>
      <c r="I10" s="8"/>
      <c r="J10" s="7"/>
    </row>
    <row r="11" customFormat="false" ht="15" hidden="false" customHeight="false" outlineLevel="0" collapsed="false">
      <c r="A11" s="12"/>
      <c r="B11" s="11"/>
      <c r="C11" s="13"/>
      <c r="D11" s="13"/>
      <c r="E11" s="13"/>
      <c r="F11" s="13"/>
      <c r="G11" s="13"/>
      <c r="H11" s="13"/>
      <c r="I11" s="13"/>
      <c r="J11" s="12"/>
    </row>
    <row r="12" customFormat="false" ht="15" hidden="false" customHeight="false" outlineLevel="0" collapsed="false">
      <c r="A12" s="7"/>
      <c r="B12" s="6"/>
      <c r="C12" s="8"/>
      <c r="D12" s="8"/>
      <c r="E12" s="8"/>
      <c r="F12" s="8"/>
      <c r="G12" s="8"/>
      <c r="H12" s="8"/>
      <c r="I12" s="8"/>
      <c r="J12" s="7"/>
    </row>
    <row r="13" customFormat="false" ht="15" hidden="false" customHeight="false" outlineLevel="0" collapsed="false">
      <c r="A13" s="12"/>
      <c r="B13" s="11"/>
      <c r="C13" s="13"/>
      <c r="D13" s="13"/>
      <c r="E13" s="13"/>
      <c r="F13" s="13"/>
      <c r="G13" s="13"/>
      <c r="H13" s="13"/>
      <c r="I13" s="13"/>
      <c r="J13" s="12"/>
    </row>
    <row r="14" customFormat="false" ht="15" hidden="false" customHeight="false" outlineLevel="0" collapsed="false">
      <c r="A14" s="7"/>
      <c r="B14" s="6"/>
      <c r="C14" s="8"/>
      <c r="D14" s="8"/>
      <c r="E14" s="8"/>
      <c r="F14" s="8"/>
      <c r="G14" s="8"/>
      <c r="H14" s="8"/>
      <c r="I14" s="8"/>
      <c r="J14" s="7"/>
    </row>
    <row r="15" customFormat="false" ht="15" hidden="false" customHeight="false" outlineLevel="0" collapsed="false">
      <c r="A15" s="12"/>
      <c r="B15" s="11"/>
      <c r="C15" s="13"/>
      <c r="D15" s="13"/>
      <c r="E15" s="13"/>
      <c r="F15" s="13"/>
      <c r="G15" s="13"/>
      <c r="H15" s="13"/>
      <c r="I15" s="13"/>
      <c r="J15" s="12"/>
    </row>
    <row r="16" customFormat="false" ht="15" hidden="false" customHeight="false" outlineLevel="0" collapsed="false">
      <c r="A16" s="7"/>
      <c r="B16" s="6"/>
      <c r="C16" s="8"/>
      <c r="D16" s="8"/>
      <c r="E16" s="8"/>
      <c r="F16" s="8"/>
      <c r="G16" s="8"/>
      <c r="H16" s="8"/>
      <c r="I16" s="8"/>
      <c r="J16" s="7"/>
    </row>
    <row r="17" customFormat="false" ht="15" hidden="false" customHeight="false" outlineLevel="0" collapsed="false">
      <c r="A17" s="12"/>
      <c r="B17" s="11"/>
      <c r="C17" s="13"/>
      <c r="D17" s="13"/>
      <c r="E17" s="13"/>
      <c r="F17" s="13"/>
      <c r="G17" s="13"/>
      <c r="H17" s="13"/>
      <c r="I17" s="13"/>
      <c r="J17" s="12"/>
    </row>
    <row r="18" customFormat="false" ht="15" hidden="false" customHeight="false" outlineLevel="0" collapsed="false">
      <c r="A18" s="7"/>
      <c r="B18" s="6"/>
      <c r="C18" s="8"/>
      <c r="D18" s="8"/>
      <c r="E18" s="8"/>
      <c r="F18" s="8"/>
      <c r="G18" s="8"/>
      <c r="H18" s="8"/>
      <c r="I18" s="8"/>
      <c r="J18" s="7"/>
    </row>
    <row r="19" customFormat="false" ht="15" hidden="false" customHeight="false" outlineLevel="0" collapsed="false">
      <c r="A19" s="12"/>
      <c r="B19" s="11"/>
      <c r="C19" s="13"/>
      <c r="D19" s="13"/>
      <c r="E19" s="13"/>
      <c r="F19" s="13"/>
      <c r="G19" s="13"/>
      <c r="H19" s="13"/>
      <c r="I19" s="13"/>
      <c r="J19" s="12"/>
    </row>
    <row r="20" customFormat="false" ht="15" hidden="false" customHeight="false" outlineLevel="0" collapsed="false">
      <c r="A20" s="7"/>
      <c r="B20" s="6"/>
      <c r="C20" s="8"/>
      <c r="D20" s="8"/>
      <c r="E20" s="8"/>
      <c r="F20" s="8"/>
      <c r="G20" s="8"/>
      <c r="H20" s="8"/>
      <c r="I20" s="8"/>
      <c r="J20" s="7"/>
    </row>
    <row r="21" customFormat="false" ht="15" hidden="false" customHeight="false" outlineLevel="0" collapsed="false">
      <c r="A21" s="12"/>
      <c r="B21" s="11"/>
      <c r="C21" s="13"/>
      <c r="D21" s="13"/>
      <c r="E21" s="13"/>
      <c r="F21" s="13"/>
      <c r="G21" s="13"/>
      <c r="H21" s="13"/>
      <c r="I21" s="13"/>
      <c r="J21" s="12"/>
    </row>
    <row r="22" customFormat="false" ht="15" hidden="false" customHeight="false" outlineLevel="0" collapsed="false">
      <c r="A22" s="7"/>
      <c r="B22" s="6"/>
      <c r="C22" s="8"/>
      <c r="D22" s="8"/>
      <c r="E22" s="8"/>
      <c r="F22" s="8"/>
      <c r="G22" s="8"/>
      <c r="H22" s="8"/>
      <c r="I22" s="8"/>
      <c r="J22" s="7"/>
    </row>
    <row r="23" customFormat="false" ht="15" hidden="false" customHeight="false" outlineLevel="0" collapsed="false">
      <c r="A23" s="12"/>
      <c r="B23" s="11"/>
      <c r="C23" s="13"/>
      <c r="D23" s="13"/>
      <c r="E23" s="13"/>
      <c r="F23" s="13"/>
      <c r="G23" s="13"/>
      <c r="H23" s="13"/>
      <c r="I23" s="13"/>
      <c r="J23" s="12"/>
    </row>
    <row r="24" customFormat="false" ht="15" hidden="false" customHeight="false" outlineLevel="0" collapsed="false">
      <c r="A24" s="7"/>
      <c r="B24" s="6"/>
      <c r="C24" s="8"/>
      <c r="D24" s="8"/>
      <c r="E24" s="8"/>
      <c r="F24" s="8"/>
      <c r="G24" s="8"/>
      <c r="H24" s="8"/>
      <c r="I24" s="8"/>
      <c r="J24" s="7"/>
    </row>
    <row r="25" customFormat="false" ht="15" hidden="false" customHeight="false" outlineLevel="0" collapsed="false">
      <c r="A25" s="12"/>
      <c r="B25" s="11"/>
      <c r="C25" s="13"/>
      <c r="D25" s="13"/>
      <c r="E25" s="13"/>
      <c r="F25" s="13"/>
      <c r="G25" s="13"/>
      <c r="H25" s="13"/>
      <c r="I25" s="13"/>
      <c r="J25" s="12"/>
    </row>
    <row r="26" customFormat="false" ht="15" hidden="false" customHeight="false" outlineLevel="0" collapsed="false">
      <c r="A26" s="7"/>
      <c r="B26" s="6"/>
      <c r="C26" s="8"/>
      <c r="D26" s="8"/>
      <c r="E26" s="8"/>
      <c r="F26" s="8"/>
      <c r="G26" s="8"/>
      <c r="H26" s="8"/>
      <c r="I26" s="8"/>
      <c r="J26" s="7"/>
    </row>
    <row r="27" customFormat="false" ht="15" hidden="false" customHeight="false" outlineLevel="0" collapsed="false">
      <c r="A27" s="12"/>
      <c r="B27" s="11"/>
      <c r="C27" s="13"/>
      <c r="D27" s="13"/>
      <c r="E27" s="13"/>
      <c r="F27" s="13"/>
      <c r="G27" s="13"/>
      <c r="H27" s="13"/>
      <c r="I27" s="13"/>
      <c r="J27" s="12"/>
    </row>
    <row r="28" customFormat="false" ht="15" hidden="false" customHeight="false" outlineLevel="0" collapsed="false">
      <c r="A28" s="7"/>
      <c r="B28" s="6"/>
      <c r="C28" s="8"/>
      <c r="D28" s="8"/>
      <c r="E28" s="8"/>
      <c r="F28" s="8"/>
      <c r="G28" s="8"/>
      <c r="H28" s="8"/>
      <c r="I28" s="8"/>
      <c r="J28" s="7"/>
    </row>
    <row r="29" customFormat="false" ht="15" hidden="false" customHeight="false" outlineLevel="0" collapsed="false">
      <c r="A29" s="12"/>
      <c r="B29" s="11"/>
      <c r="C29" s="13"/>
      <c r="D29" s="13"/>
      <c r="E29" s="13"/>
      <c r="F29" s="13"/>
      <c r="G29" s="13"/>
      <c r="H29" s="13"/>
      <c r="I29" s="13"/>
      <c r="J29" s="12"/>
    </row>
    <row r="30" customFormat="false" ht="15" hidden="false" customHeight="false" outlineLevel="0" collapsed="false">
      <c r="A30" s="7"/>
      <c r="B30" s="6"/>
      <c r="C30" s="8"/>
      <c r="D30" s="8"/>
      <c r="E30" s="8"/>
      <c r="F30" s="8"/>
      <c r="G30" s="8"/>
      <c r="H30" s="8"/>
      <c r="I30" s="8"/>
      <c r="J30" s="7"/>
    </row>
    <row r="31" customFormat="false" ht="15" hidden="false" customHeight="false" outlineLevel="0" collapsed="false">
      <c r="A31" s="12"/>
      <c r="B31" s="11"/>
      <c r="C31" s="13"/>
      <c r="D31" s="13"/>
      <c r="E31" s="13"/>
      <c r="F31" s="13"/>
      <c r="G31" s="13"/>
      <c r="H31" s="13"/>
      <c r="I31" s="13"/>
      <c r="J31" s="12"/>
    </row>
    <row r="32" customFormat="false" ht="15" hidden="false" customHeight="false" outlineLevel="0" collapsed="false">
      <c r="A32" s="7"/>
      <c r="B32" s="6"/>
      <c r="C32" s="8"/>
      <c r="D32" s="8"/>
      <c r="E32" s="8"/>
      <c r="F32" s="8"/>
      <c r="G32" s="8"/>
      <c r="H32" s="8"/>
      <c r="I32" s="8"/>
      <c r="J32" s="7"/>
    </row>
    <row r="33" customFormat="false" ht="15" hidden="false" customHeight="false" outlineLevel="0" collapsed="false">
      <c r="A33" s="12"/>
      <c r="B33" s="11"/>
      <c r="C33" s="13"/>
      <c r="D33" s="13"/>
      <c r="E33" s="13"/>
      <c r="F33" s="13"/>
      <c r="G33" s="13"/>
      <c r="H33" s="13"/>
      <c r="I33" s="13"/>
      <c r="J33" s="12"/>
    </row>
    <row r="34" customFormat="false" ht="15" hidden="false" customHeight="false" outlineLevel="0" collapsed="false">
      <c r="A34" s="7"/>
      <c r="B34" s="6"/>
      <c r="C34" s="8"/>
      <c r="D34" s="8"/>
      <c r="E34" s="8"/>
      <c r="F34" s="8"/>
      <c r="G34" s="8"/>
      <c r="H34" s="8"/>
      <c r="I34" s="8"/>
      <c r="J34" s="7"/>
    </row>
    <row r="35" customFormat="false" ht="15" hidden="false" customHeight="false" outlineLevel="0" collapsed="false">
      <c r="A35" s="12"/>
      <c r="B35" s="11"/>
      <c r="C35" s="13"/>
      <c r="D35" s="13"/>
      <c r="E35" s="13"/>
      <c r="F35" s="13"/>
      <c r="G35" s="13"/>
      <c r="H35" s="13"/>
      <c r="I35" s="13"/>
      <c r="J35" s="12"/>
    </row>
    <row r="37" customFormat="false" ht="15" hidden="false" customHeight="true" outlineLevel="0" collapsed="false">
      <c r="A37" s="4" t="s">
        <v>61</v>
      </c>
      <c r="B37" s="4"/>
      <c r="C37" s="4"/>
      <c r="D37" s="4"/>
      <c r="E37" s="4"/>
      <c r="F37" s="4"/>
      <c r="G37" s="4"/>
      <c r="H37" s="4"/>
      <c r="I37" s="4"/>
      <c r="J37" s="4"/>
    </row>
    <row r="38" customFormat="false" ht="23.85" hidden="false" customHeight="false" outlineLevel="0" collapsed="false">
      <c r="A38" s="29"/>
      <c r="B38" s="29" t="s">
        <v>62</v>
      </c>
      <c r="C38" s="29"/>
      <c r="D38" s="29" t="s">
        <v>63</v>
      </c>
      <c r="E38" s="29"/>
      <c r="F38" s="29"/>
      <c r="G38" s="29" t="s">
        <v>64</v>
      </c>
      <c r="H38" s="29"/>
      <c r="I38" s="29"/>
      <c r="J38" s="29"/>
    </row>
    <row r="39" customFormat="false" ht="15" hidden="false" customHeight="true" outlineLevel="0" collapsed="false">
      <c r="A39" s="24" t="s">
        <v>65</v>
      </c>
      <c r="B39" s="24"/>
      <c r="C39" s="35" t="s">
        <v>66</v>
      </c>
      <c r="D39" s="35"/>
      <c r="E39" s="36" t="s">
        <v>67</v>
      </c>
      <c r="F39" s="36"/>
      <c r="G39" s="36"/>
      <c r="H39" s="36"/>
      <c r="I39" s="36"/>
      <c r="J39" s="36"/>
    </row>
    <row r="40" customFormat="false" ht="15" hidden="false" customHeight="true" outlineLevel="0" collapsed="false">
      <c r="A40" s="37" t="s">
        <v>68</v>
      </c>
      <c r="B40" s="37"/>
      <c r="C40" s="38" t="s">
        <v>69</v>
      </c>
      <c r="D40" s="38"/>
      <c r="E40" s="39" t="s">
        <v>70</v>
      </c>
      <c r="F40" s="39"/>
      <c r="G40" s="39"/>
      <c r="H40" s="39"/>
      <c r="I40" s="39"/>
      <c r="J40" s="39"/>
    </row>
    <row r="41" customFormat="false" ht="15" hidden="false" customHeight="true" outlineLevel="0" collapsed="false">
      <c r="A41" s="37" t="s">
        <v>71</v>
      </c>
      <c r="B41" s="37"/>
      <c r="C41" s="38" t="s">
        <v>72</v>
      </c>
      <c r="D41" s="38"/>
      <c r="E41" s="39" t="s">
        <v>73</v>
      </c>
      <c r="F41" s="39"/>
      <c r="G41" s="39"/>
      <c r="H41" s="39"/>
      <c r="I41" s="39"/>
      <c r="J41" s="39"/>
    </row>
    <row r="42" customFormat="false" ht="15" hidden="false" customHeight="true" outlineLevel="0" collapsed="false">
      <c r="A42" s="40" t="s">
        <v>74</v>
      </c>
      <c r="B42" s="40"/>
      <c r="C42" s="41" t="s">
        <v>75</v>
      </c>
      <c r="D42" s="41"/>
      <c r="E42" s="42" t="s">
        <v>76</v>
      </c>
      <c r="F42" s="42"/>
      <c r="G42" s="42"/>
      <c r="H42" s="42"/>
      <c r="I42" s="42"/>
      <c r="J42" s="42"/>
    </row>
    <row r="43" customFormat="false" ht="15" hidden="false" customHeight="true" outlineLevel="0" collapsed="false">
      <c r="A43" s="24" t="s">
        <v>77</v>
      </c>
      <c r="B43" s="24"/>
      <c r="C43" s="35" t="s">
        <v>78</v>
      </c>
      <c r="D43" s="35"/>
      <c r="E43" s="36" t="s">
        <v>79</v>
      </c>
      <c r="F43" s="36"/>
      <c r="G43" s="36"/>
      <c r="H43" s="36"/>
      <c r="I43" s="36"/>
      <c r="J43" s="36"/>
    </row>
    <row r="44" customFormat="false" ht="15" hidden="false" customHeight="true" outlineLevel="0" collapsed="false">
      <c r="A44" s="37" t="s">
        <v>80</v>
      </c>
      <c r="B44" s="37"/>
      <c r="C44" s="38" t="s">
        <v>81</v>
      </c>
      <c r="D44" s="38"/>
      <c r="E44" s="39" t="s">
        <v>82</v>
      </c>
      <c r="F44" s="39"/>
      <c r="G44" s="39"/>
      <c r="H44" s="39"/>
      <c r="I44" s="39"/>
      <c r="J44" s="39"/>
    </row>
  </sheetData>
  <mergeCells count="22">
    <mergeCell ref="A1:J1"/>
    <mergeCell ref="A2:J2"/>
    <mergeCell ref="A4:J4"/>
    <mergeCell ref="A37:J37"/>
    <mergeCell ref="A39:B39"/>
    <mergeCell ref="C39:D39"/>
    <mergeCell ref="E39:J39"/>
    <mergeCell ref="A40:B40"/>
    <mergeCell ref="C40:D40"/>
    <mergeCell ref="E40:J40"/>
    <mergeCell ref="A41:B41"/>
    <mergeCell ref="C41:D41"/>
    <mergeCell ref="E41:J41"/>
    <mergeCell ref="A42:B42"/>
    <mergeCell ref="C42:D42"/>
    <mergeCell ref="E42:J42"/>
    <mergeCell ref="A43:B43"/>
    <mergeCell ref="C43:D43"/>
    <mergeCell ref="E43:J43"/>
    <mergeCell ref="A44:B44"/>
    <mergeCell ref="C44:D44"/>
    <mergeCell ref="E44:J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3" min="2" style="0" width="14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true" outlineLevel="0" collapsed="false">
      <c r="A4" s="4" t="s">
        <v>85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29"/>
      <c r="B5" s="29" t="s">
        <v>86</v>
      </c>
      <c r="C5" s="29" t="s">
        <v>87</v>
      </c>
      <c r="D5" s="29" t="s">
        <v>88</v>
      </c>
      <c r="E5" s="29" t="s">
        <v>89</v>
      </c>
      <c r="F5" s="29" t="s">
        <v>90</v>
      </c>
      <c r="G5" s="29" t="s">
        <v>91</v>
      </c>
      <c r="H5" s="29" t="s">
        <v>92</v>
      </c>
      <c r="I5" s="29" t="s">
        <v>93</v>
      </c>
      <c r="J5" s="29" t="s">
        <v>94</v>
      </c>
      <c r="K5" s="29" t="s">
        <v>95</v>
      </c>
      <c r="L5" s="29" t="s">
        <v>96</v>
      </c>
      <c r="M5" s="29" t="s">
        <v>97</v>
      </c>
      <c r="N5" s="29" t="s">
        <v>98</v>
      </c>
    </row>
    <row r="6" customFormat="false" ht="23.85" hidden="false" customHeight="false" outlineLevel="0" collapsed="false">
      <c r="A6" s="16" t="s">
        <v>99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7" t="n">
        <f aca="false">SUM(B6:M6)</f>
        <v>0</v>
      </c>
    </row>
    <row r="7" customFormat="false" ht="23.85" hidden="false" customHeight="false" outlineLevel="0" collapsed="false">
      <c r="A7" s="19" t="s">
        <v>100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43" t="n">
        <f aca="false">SUM(B7:M7)</f>
        <v>0</v>
      </c>
    </row>
    <row r="8" customFormat="false" ht="15" hidden="false" customHeight="false" outlineLevel="0" collapsed="false">
      <c r="A8" s="40" t="s">
        <v>101</v>
      </c>
      <c r="B8" s="44" t="n">
        <f aca="false">IF(B6&gt;0,B7/B6,0)</f>
        <v>0</v>
      </c>
      <c r="C8" s="44" t="n">
        <f aca="false">IF(C6&gt;0,C7/C6,0)</f>
        <v>0</v>
      </c>
      <c r="D8" s="44" t="n">
        <f aca="false">IF(D6&gt;0,D7/D6,0)</f>
        <v>0</v>
      </c>
      <c r="E8" s="44" t="n">
        <f aca="false">IF(E6&gt;0,E7/E6,0)</f>
        <v>0</v>
      </c>
      <c r="F8" s="44" t="n">
        <f aca="false">IF(F6&gt;0,F7/F6,0)</f>
        <v>0</v>
      </c>
      <c r="G8" s="44" t="n">
        <f aca="false">IF(G6&gt;0,G7/G6,0)</f>
        <v>0</v>
      </c>
      <c r="H8" s="44" t="n">
        <f aca="false">IF(H6&gt;0,H7/H6,0)</f>
        <v>0</v>
      </c>
      <c r="I8" s="44" t="n">
        <f aca="false">IF(I6&gt;0,I7/I6,0)</f>
        <v>0</v>
      </c>
      <c r="J8" s="44" t="n">
        <f aca="false">IF(J6&gt;0,J7/J6,0)</f>
        <v>0</v>
      </c>
      <c r="K8" s="44" t="n">
        <f aca="false">IF(K6&gt;0,K7/K6,0)</f>
        <v>0</v>
      </c>
      <c r="L8" s="44" t="n">
        <f aca="false">IF(L6&gt;0,L7/L6,0)</f>
        <v>0</v>
      </c>
      <c r="M8" s="44" t="n">
        <f aca="false">IF(M6&gt;0,M7/M6,0)</f>
        <v>0</v>
      </c>
      <c r="N8" s="44" t="n">
        <f aca="false">IF(COUNTA(B8:M8)&gt;0,AVERAGE(B8:M8),0)</f>
        <v>0</v>
      </c>
    </row>
    <row r="9" customFormat="false" ht="15" hidden="false" customHeight="false" outlineLevel="0" collapsed="false">
      <c r="A9" s="19" t="s">
        <v>34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43" t="n">
        <f aca="false">SUM(B9:M9)</f>
        <v>0</v>
      </c>
    </row>
    <row r="10" customFormat="false" ht="23.85" hidden="false" customHeight="false" outlineLevel="0" collapsed="false">
      <c r="A10" s="40" t="s">
        <v>102</v>
      </c>
      <c r="B10" s="44" t="n">
        <f aca="false">IF(B6&gt;0,B9/B6,0)</f>
        <v>0</v>
      </c>
      <c r="C10" s="44" t="n">
        <f aca="false">IF(C6&gt;0,C9/C6,0)</f>
        <v>0</v>
      </c>
      <c r="D10" s="44" t="n">
        <f aca="false">IF(D6&gt;0,D9/D6,0)</f>
        <v>0</v>
      </c>
      <c r="E10" s="44" t="n">
        <f aca="false">IF(E6&gt;0,E9/E6,0)</f>
        <v>0</v>
      </c>
      <c r="F10" s="44" t="n">
        <f aca="false">IF(F6&gt;0,F9/F6,0)</f>
        <v>0</v>
      </c>
      <c r="G10" s="44" t="n">
        <f aca="false">IF(G6&gt;0,G9/G6,0)</f>
        <v>0</v>
      </c>
      <c r="H10" s="44" t="n">
        <f aca="false">IF(H6&gt;0,H9/H6,0)</f>
        <v>0</v>
      </c>
      <c r="I10" s="44" t="n">
        <f aca="false">IF(I6&gt;0,I9/I6,0)</f>
        <v>0</v>
      </c>
      <c r="J10" s="44" t="n">
        <f aca="false">IF(J6&gt;0,J9/J6,0)</f>
        <v>0</v>
      </c>
      <c r="K10" s="44" t="n">
        <f aca="false">IF(K6&gt;0,K9/K6,0)</f>
        <v>0</v>
      </c>
      <c r="L10" s="44" t="n">
        <f aca="false">IF(L6&gt;0,L9/L6,0)</f>
        <v>0</v>
      </c>
      <c r="M10" s="44" t="n">
        <f aca="false">IF(M6&gt;0,M9/M6,0)</f>
        <v>0</v>
      </c>
      <c r="N10" s="44" t="n">
        <f aca="false">IF(COUNTA(B10:M10)&gt;0,AVERAGE(B10:M10),0)</f>
        <v>0</v>
      </c>
    </row>
    <row r="11" customFormat="false" ht="15" hidden="false" customHeight="false" outlineLevel="0" collapsed="false">
      <c r="A11" s="19" t="s">
        <v>103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43" t="n">
        <f aca="false">SUM(B11:M11)</f>
        <v>0</v>
      </c>
    </row>
    <row r="12" customFormat="false" ht="23.85" hidden="false" customHeight="false" outlineLevel="0" collapsed="false">
      <c r="A12" s="40" t="s">
        <v>104</v>
      </c>
      <c r="B12" s="44" t="n">
        <f aca="false">IF(B9&gt;0,B11/B9,0)</f>
        <v>0</v>
      </c>
      <c r="C12" s="44" t="n">
        <f aca="false">IF(C9&gt;0,C11/C9,0)</f>
        <v>0</v>
      </c>
      <c r="D12" s="44" t="n">
        <f aca="false">IF(D9&gt;0,D11/D9,0)</f>
        <v>0</v>
      </c>
      <c r="E12" s="44" t="n">
        <f aca="false">IF(E9&gt;0,E11/E9,0)</f>
        <v>0</v>
      </c>
      <c r="F12" s="44" t="n">
        <f aca="false">IF(F9&gt;0,F11/F9,0)</f>
        <v>0</v>
      </c>
      <c r="G12" s="44" t="n">
        <f aca="false">IF(G9&gt;0,G11/G9,0)</f>
        <v>0</v>
      </c>
      <c r="H12" s="44" t="n">
        <f aca="false">IF(H9&gt;0,H11/H9,0)</f>
        <v>0</v>
      </c>
      <c r="I12" s="44" t="n">
        <f aca="false">IF(I9&gt;0,I11/I9,0)</f>
        <v>0</v>
      </c>
      <c r="J12" s="44" t="n">
        <f aca="false">IF(J9&gt;0,J11/J9,0)</f>
        <v>0</v>
      </c>
      <c r="K12" s="44" t="n">
        <f aca="false">IF(K9&gt;0,K11/K9,0)</f>
        <v>0</v>
      </c>
      <c r="L12" s="44" t="n">
        <f aca="false">IF(L9&gt;0,L11/L9,0)</f>
        <v>0</v>
      </c>
      <c r="M12" s="44" t="n">
        <f aca="false">IF(M9&gt;0,M11/M9,0)</f>
        <v>0</v>
      </c>
      <c r="N12" s="44" t="n">
        <f aca="false">IF(COUNTA(B12:M12)&gt;0,AVERAGE(B12:M12),0)</f>
        <v>0</v>
      </c>
    </row>
    <row r="13" customFormat="false" ht="23.85" hidden="false" customHeight="false" outlineLevel="0" collapsed="false">
      <c r="A13" s="24" t="s">
        <v>105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25" t="n">
        <f aca="false">SUM(B13:M13)</f>
        <v>0</v>
      </c>
    </row>
    <row r="14" customFormat="false" ht="15" hidden="false" customHeight="false" outlineLevel="0" collapsed="false">
      <c r="A14" s="24" t="s">
        <v>106</v>
      </c>
      <c r="B14" s="25" t="n">
        <f aca="false">IF(B11&gt;0,B13/B11,0)</f>
        <v>0</v>
      </c>
      <c r="C14" s="25" t="n">
        <f aca="false">IF(C11&gt;0,C13/C11,0)</f>
        <v>0</v>
      </c>
      <c r="D14" s="25" t="n">
        <f aca="false">IF(D11&gt;0,D13/D11,0)</f>
        <v>0</v>
      </c>
      <c r="E14" s="25" t="n">
        <f aca="false">IF(E11&gt;0,E13/E11,0)</f>
        <v>0</v>
      </c>
      <c r="F14" s="25" t="n">
        <f aca="false">IF(F11&gt;0,F13/F11,0)</f>
        <v>0</v>
      </c>
      <c r="G14" s="25" t="n">
        <f aca="false">IF(G11&gt;0,G13/G11,0)</f>
        <v>0</v>
      </c>
      <c r="H14" s="25" t="n">
        <f aca="false">IF(H11&gt;0,H13/H11,0)</f>
        <v>0</v>
      </c>
      <c r="I14" s="25" t="n">
        <f aca="false">IF(I11&gt;0,I13/I11,0)</f>
        <v>0</v>
      </c>
      <c r="J14" s="25" t="n">
        <f aca="false">IF(J11&gt;0,J13/J11,0)</f>
        <v>0</v>
      </c>
      <c r="K14" s="25" t="n">
        <f aca="false">IF(K11&gt;0,K13/K11,0)</f>
        <v>0</v>
      </c>
      <c r="L14" s="25" t="n">
        <f aca="false">IF(L11&gt;0,L13/L11,0)</f>
        <v>0</v>
      </c>
      <c r="M14" s="25" t="n">
        <f aca="false">IF(M11&gt;0,M13/M11,0)</f>
        <v>0</v>
      </c>
      <c r="N14" s="25" t="n">
        <f aca="false">SUM(B14:M14)</f>
        <v>0</v>
      </c>
    </row>
    <row r="15" customFormat="false" ht="15" hidden="false" customHeight="false" outlineLevel="0" collapsed="false">
      <c r="A15" s="19" t="s">
        <v>107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43" t="n">
        <f aca="false">SUM(B15:M15)</f>
        <v>0</v>
      </c>
    </row>
    <row r="16" customFormat="false" ht="15" hidden="false" customHeight="false" outlineLevel="0" collapsed="false">
      <c r="A16" s="16" t="s">
        <v>108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7"/>
    </row>
    <row r="18" customFormat="false" ht="15" hidden="false" customHeight="true" outlineLevel="0" collapsed="false">
      <c r="A18" s="4" t="s">
        <v>109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29"/>
      <c r="B19" s="29" t="s">
        <v>86</v>
      </c>
      <c r="C19" s="29" t="s">
        <v>87</v>
      </c>
      <c r="D19" s="29" t="s">
        <v>88</v>
      </c>
      <c r="E19" s="29" t="s">
        <v>89</v>
      </c>
      <c r="F19" s="29" t="s">
        <v>90</v>
      </c>
      <c r="G19" s="29" t="s">
        <v>91</v>
      </c>
      <c r="H19" s="29" t="s">
        <v>92</v>
      </c>
      <c r="I19" s="29" t="s">
        <v>93</v>
      </c>
      <c r="J19" s="29" t="s">
        <v>94</v>
      </c>
      <c r="K19" s="29" t="s">
        <v>95</v>
      </c>
      <c r="L19" s="29" t="s">
        <v>96</v>
      </c>
      <c r="M19" s="29" t="s">
        <v>97</v>
      </c>
      <c r="N19" s="29" t="s">
        <v>98</v>
      </c>
    </row>
    <row r="20" customFormat="false" ht="15" hidden="false" customHeight="false" outlineLevel="0" collapsed="false">
      <c r="A20" s="18" t="s">
        <v>110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7" t="n">
        <f aca="false">SUM(B20:M20)</f>
        <v>0</v>
      </c>
    </row>
    <row r="21" customFormat="false" ht="15" hidden="false" customHeight="false" outlineLevel="0" collapsed="false">
      <c r="A21" s="21" t="s">
        <v>111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43" t="n">
        <f aca="false">SUM(B21:M21)</f>
        <v>0</v>
      </c>
    </row>
    <row r="22" customFormat="false" ht="15" hidden="false" customHeight="false" outlineLevel="0" collapsed="false">
      <c r="A22" s="18" t="s">
        <v>43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7" t="n">
        <f aca="false">SUM(B22:M22)</f>
        <v>0</v>
      </c>
    </row>
    <row r="23" customFormat="false" ht="15" hidden="false" customHeight="false" outlineLevel="0" collapsed="false">
      <c r="A23" s="21" t="s">
        <v>112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43" t="n">
        <f aca="false">SUM(B23:M23)</f>
        <v>0</v>
      </c>
    </row>
    <row r="24" customFormat="false" ht="15" hidden="false" customHeight="false" outlineLevel="0" collapsed="false">
      <c r="A24" s="18" t="s">
        <v>46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7" t="n">
        <f aca="false">SUM(B24:M24)</f>
        <v>0</v>
      </c>
    </row>
    <row r="25" customFormat="false" ht="15" hidden="false" customHeight="false" outlineLevel="0" collapsed="false">
      <c r="A25" s="21" t="s">
        <v>49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43" t="n">
        <f aca="false">SUM(B25:M25)</f>
        <v>0</v>
      </c>
    </row>
    <row r="26" customFormat="false" ht="15" hidden="false" customHeight="false" outlineLevel="0" collapsed="false">
      <c r="A26" s="46" t="s">
        <v>98</v>
      </c>
      <c r="B26" s="47" t="n">
        <f aca="false">SUM(B20:B25)</f>
        <v>0</v>
      </c>
      <c r="C26" s="47" t="n">
        <f aca="false">SUM(C20:C25)</f>
        <v>0</v>
      </c>
      <c r="D26" s="47" t="n">
        <f aca="false">SUM(D20:D25)</f>
        <v>0</v>
      </c>
      <c r="E26" s="47" t="n">
        <f aca="false">SUM(E20:E25)</f>
        <v>0</v>
      </c>
      <c r="F26" s="47" t="n">
        <f aca="false">SUM(F20:F25)</f>
        <v>0</v>
      </c>
      <c r="G26" s="47" t="n">
        <f aca="false">SUM(G20:G25)</f>
        <v>0</v>
      </c>
      <c r="H26" s="47" t="n">
        <f aca="false">SUM(H20:H25)</f>
        <v>0</v>
      </c>
      <c r="I26" s="47" t="n">
        <f aca="false">SUM(I20:I25)</f>
        <v>0</v>
      </c>
      <c r="J26" s="47" t="n">
        <f aca="false">SUM(J20:J25)</f>
        <v>0</v>
      </c>
      <c r="K26" s="47" t="n">
        <f aca="false">SUM(K20:K25)</f>
        <v>0</v>
      </c>
      <c r="L26" s="47" t="n">
        <f aca="false">SUM(L20:L25)</f>
        <v>0</v>
      </c>
      <c r="M26" s="47" t="n">
        <f aca="false">SUM(M20:M25)</f>
        <v>0</v>
      </c>
      <c r="N26" s="47" t="n">
        <f aca="false">SUM(B26:M26)</f>
        <v>0</v>
      </c>
    </row>
    <row r="29" customFormat="false" ht="15" hidden="false" customHeight="true" outlineLevel="0" collapsed="false">
      <c r="A29" s="34" t="s">
        <v>113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</row>
  </sheetData>
  <mergeCells count="5">
    <mergeCell ref="A1:N1"/>
    <mergeCell ref="A2:N2"/>
    <mergeCell ref="A4:N4"/>
    <mergeCell ref="A18:N18"/>
    <mergeCell ref="A29:N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2026-03-15T20:28:17Z</dcterms:created>
  <dc:creator>openpyxl</dc:creator>
  <dc:description/>
  <dc:language>en-US</dc:language>
  <cp:lastModifiedBy/>
  <dcterms:modified xsi:type="dcterms:W3CDTF">2026-03-15T20:28:18Z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