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ffing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<sst xmlns="http://schemas.openxmlformats.org/spreadsheetml/2006/main" count="47" uniqueCount="46">
  <si>
    <t xml:space="preserve">EVENT STAFFING CALCULATOR</t>
  </si>
  <si>
    <t xml:space="preserve">The Catering Profit System  |  Module 1: Labor Cost Control  |  trecoleman.com</t>
  </si>
  <si>
    <t xml:space="preserve">Blue cells = your inputs  |  Black cells = auto-calculated</t>
  </si>
  <si>
    <t xml:space="preserve">EVENT DETAILS</t>
  </si>
  <si>
    <t xml:space="preserve">Event Name</t>
  </si>
  <si>
    <t xml:space="preserve">Event Date</t>
  </si>
  <si>
    <t xml:space="preserve">Event Type</t>
  </si>
  <si>
    <t xml:space="preserve">Buffet</t>
  </si>
  <si>
    <t xml:space="preserve">Guest Count</t>
  </si>
  <si>
    <t xml:space="preserve">Service Hours</t>
  </si>
  <si>
    <t xml:space="preserve">Setup Hours (before event)</t>
  </si>
  <si>
    <t xml:space="preserve">Breakdown Hours (after event)</t>
  </si>
  <si>
    <t xml:space="preserve">Travel Time (round trip hours)</t>
  </si>
  <si>
    <t xml:space="preserve">Location</t>
  </si>
  <si>
    <t xml:space="preserve">STAFFING REQUIREMENTS BY ROLE</t>
  </si>
  <si>
    <t xml:space="preserve">Role</t>
  </si>
  <si>
    <t xml:space="preserve"># Staff Needed</t>
  </si>
  <si>
    <t xml:space="preserve">Hourly Rate</t>
  </si>
  <si>
    <t xml:space="preserve">Setup Hrs</t>
  </si>
  <si>
    <t xml:space="preserve">Service Hrs</t>
  </si>
  <si>
    <t xml:space="preserve">Breakdown Hrs</t>
  </si>
  <si>
    <t xml:space="preserve">Total Hrs/Person</t>
  </si>
  <si>
    <t xml:space="preserve">Total Labor Cost</t>
  </si>
  <si>
    <t xml:space="preserve">Head Chef / Kitchen Lead</t>
  </si>
  <si>
    <t xml:space="preserve">Line Cooks</t>
  </si>
  <si>
    <t xml:space="preserve">Prep Cooks</t>
  </si>
  <si>
    <t xml:space="preserve">Servers / Front of House</t>
  </si>
  <si>
    <t xml:space="preserve">Bartender(s)</t>
  </si>
  <si>
    <t xml:space="preserve">Event Captain / Lead Server</t>
  </si>
  <si>
    <t xml:space="preserve">Dishwasher / Utility</t>
  </si>
  <si>
    <t xml:space="preserve">Delivery Driver(s)</t>
  </si>
  <si>
    <t xml:space="preserve">TOTALS</t>
  </si>
  <si>
    <t xml:space="preserve">COST SUMMARY &amp; PROFITABILITY CHECK</t>
  </si>
  <si>
    <t xml:space="preserve">Overtime Premium (if applicable)</t>
  </si>
  <si>
    <t xml:space="preserve">Transportation / Mileage</t>
  </si>
  <si>
    <t xml:space="preserve">Total Staffing Cost</t>
  </si>
  <si>
    <t xml:space="preserve">Event Revenue (total contract)</t>
  </si>
  <si>
    <t xml:space="preserve">Food Cost</t>
  </si>
  <si>
    <t xml:space="preserve">Equipment / Rentals</t>
  </si>
  <si>
    <t xml:space="preserve">Other Direct Costs</t>
  </si>
  <si>
    <t xml:space="preserve">Total Event Cost</t>
  </si>
  <si>
    <t xml:space="preserve">Event Profit</t>
  </si>
  <si>
    <t xml:space="preserve">Profit Margin %</t>
  </si>
  <si>
    <t xml:space="preserve">Labor as % of Revenue</t>
  </si>
  <si>
    <t xml:space="preserve">Labor Cost Per Guest</t>
  </si>
  <si>
    <t xml:space="preserve">Want a custom staffing model built for YOUR operation? Book a Profit Leak Snapshot at trecoleman.com/profit-leak-snapshot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</si>
</sst>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"/>
    <numFmt numFmtId="167" formatCode="General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E9456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rgb="FFF5F5F5"/>
        <bgColor rgb="FFE8F5E9"/>
      </patternFill>
    </fill>
    <fill>
      <patternFill patternType="solid">
        <fgColor rgb="FFE94560"/>
        <bgColor rgb="FF993366"/>
      </patternFill>
    </fill>
    <fill>
      <patternFill patternType="solid">
        <fgColor rgb="FFE8F5E9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6" min="3" style="0" width="16"/>
    <col collapsed="false" customWidth="true" hidden="false" outlineLevel="0" max="8" min="7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s">
        <v>4</v>
      </c>
      <c r="B6" s="6"/>
    </row>
    <row r="7" customFormat="false" ht="15" hidden="false" customHeight="false" outlineLevel="0" collapsed="false">
      <c r="A7" s="5" t="s">
        <v>5</v>
      </c>
      <c r="B7" s="6"/>
    </row>
    <row r="8" customFormat="false" ht="15" hidden="false" customHeight="false" outlineLevel="0" collapsed="false">
      <c r="A8" s="5" t="s">
        <v>6</v>
      </c>
      <c r="B8" s="6" t="s">
        <v>7</v>
      </c>
    </row>
    <row r="9" customFormat="false" ht="15" hidden="false" customHeight="false" outlineLevel="0" collapsed="false">
      <c r="A9" s="5" t="s">
        <v>8</v>
      </c>
      <c r="B9" s="6" t="n">
        <v>100</v>
      </c>
    </row>
    <row r="10" customFormat="false" ht="15" hidden="false" customHeight="false" outlineLevel="0" collapsed="false">
      <c r="A10" s="5" t="s">
        <v>9</v>
      </c>
      <c r="B10" s="6" t="n">
        <v>4</v>
      </c>
    </row>
    <row r="11" customFormat="false" ht="15" hidden="false" customHeight="false" outlineLevel="0" collapsed="false">
      <c r="A11" s="5" t="s">
        <v>10</v>
      </c>
      <c r="B11" s="6" t="n">
        <v>2</v>
      </c>
    </row>
    <row r="12" customFormat="false" ht="15" hidden="false" customHeight="false" outlineLevel="0" collapsed="false">
      <c r="A12" s="5" t="s">
        <v>11</v>
      </c>
      <c r="B12" s="6" t="n">
        <v>1.5</v>
      </c>
    </row>
    <row r="13" customFormat="false" ht="15" hidden="false" customHeight="false" outlineLevel="0" collapsed="false">
      <c r="A13" s="5" t="s">
        <v>12</v>
      </c>
      <c r="B13" s="6" t="n">
        <v>1</v>
      </c>
    </row>
    <row r="14" customFormat="false" ht="15" hidden="false" customHeight="false" outlineLevel="0" collapsed="false">
      <c r="A14" s="5" t="s">
        <v>13</v>
      </c>
      <c r="B14" s="6"/>
    </row>
    <row r="16" customFormat="false" ht="15" hidden="false" customHeight="false" outlineLevel="0" collapsed="false">
      <c r="A16" s="7" t="s">
        <v>14</v>
      </c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0" collapsed="false">
      <c r="A17" s="8" t="s">
        <v>15</v>
      </c>
      <c r="B17" s="8" t="s">
        <v>16</v>
      </c>
      <c r="C17" s="8" t="s">
        <v>17</v>
      </c>
      <c r="D17" s="8" t="s">
        <v>18</v>
      </c>
      <c r="E17" s="8" t="s">
        <v>19</v>
      </c>
      <c r="F17" s="8" t="s">
        <v>20</v>
      </c>
      <c r="G17" s="8" t="s">
        <v>21</v>
      </c>
      <c r="H17" s="8" t="s">
        <v>22</v>
      </c>
    </row>
    <row r="18" customFormat="false" ht="15" hidden="false" customHeight="false" outlineLevel="0" collapsed="false">
      <c r="A18" s="9" t="s">
        <v>23</v>
      </c>
      <c r="B18" s="10" t="n">
        <v>1</v>
      </c>
      <c r="C18" s="11" t="n">
        <v>28</v>
      </c>
      <c r="D18" s="12" t="n">
        <f aca="false">$B$11</f>
        <v>2</v>
      </c>
      <c r="E18" s="12" t="n">
        <f aca="false">$B$10</f>
        <v>4</v>
      </c>
      <c r="F18" s="12" t="n">
        <f aca="false">$B$12</f>
        <v>1.5</v>
      </c>
      <c r="G18" s="12" t="n">
        <f aca="false">D18+E18+F18+$B$13</f>
        <v>8.5</v>
      </c>
      <c r="H18" s="13" t="n">
        <f aca="false">B18*C18*G18</f>
        <v>238</v>
      </c>
    </row>
    <row r="19" customFormat="false" ht="15" hidden="false" customHeight="false" outlineLevel="0" collapsed="false">
      <c r="A19" s="14" t="s">
        <v>24</v>
      </c>
      <c r="B19" s="15" t="n">
        <v>2</v>
      </c>
      <c r="C19" s="16" t="n">
        <v>18</v>
      </c>
      <c r="D19" s="17" t="n">
        <f aca="false">$B$11</f>
        <v>2</v>
      </c>
      <c r="E19" s="17" t="n">
        <f aca="false">$B$10</f>
        <v>4</v>
      </c>
      <c r="F19" s="17" t="n">
        <f aca="false">$B$12</f>
        <v>1.5</v>
      </c>
      <c r="G19" s="17" t="n">
        <f aca="false">D19+E19+F19+$B$13</f>
        <v>8.5</v>
      </c>
      <c r="H19" s="18" t="n">
        <f aca="false">B19*C19*G19</f>
        <v>306</v>
      </c>
    </row>
    <row r="20" customFormat="false" ht="15" hidden="false" customHeight="false" outlineLevel="0" collapsed="false">
      <c r="A20" s="9" t="s">
        <v>25</v>
      </c>
      <c r="B20" s="10" t="n">
        <v>1</v>
      </c>
      <c r="C20" s="11" t="n">
        <v>15</v>
      </c>
      <c r="D20" s="12" t="n">
        <f aca="false">$B$11</f>
        <v>2</v>
      </c>
      <c r="E20" s="12" t="n">
        <f aca="false">$B$10</f>
        <v>4</v>
      </c>
      <c r="F20" s="12" t="n">
        <f aca="false">$B$12</f>
        <v>1.5</v>
      </c>
      <c r="G20" s="12" t="n">
        <f aca="false">D20+E20+F20+$B$13</f>
        <v>8.5</v>
      </c>
      <c r="H20" s="13" t="n">
        <f aca="false">B20*C20*G20</f>
        <v>127.5</v>
      </c>
    </row>
    <row r="21" customFormat="false" ht="15" hidden="false" customHeight="false" outlineLevel="0" collapsed="false">
      <c r="A21" s="14" t="s">
        <v>26</v>
      </c>
      <c r="B21" s="15" t="n">
        <v>4</v>
      </c>
      <c r="C21" s="16" t="n">
        <v>16</v>
      </c>
      <c r="D21" s="17" t="n">
        <f aca="false">$B$11</f>
        <v>2</v>
      </c>
      <c r="E21" s="17" t="n">
        <f aca="false">$B$10</f>
        <v>4</v>
      </c>
      <c r="F21" s="17" t="n">
        <f aca="false">$B$12</f>
        <v>1.5</v>
      </c>
      <c r="G21" s="17" t="n">
        <f aca="false">D21+E21+F21+$B$13</f>
        <v>8.5</v>
      </c>
      <c r="H21" s="18" t="n">
        <f aca="false">B21*C21*G21</f>
        <v>544</v>
      </c>
    </row>
    <row r="22" customFormat="false" ht="15" hidden="false" customHeight="false" outlineLevel="0" collapsed="false">
      <c r="A22" s="9" t="s">
        <v>27</v>
      </c>
      <c r="B22" s="10" t="n">
        <v>1</v>
      </c>
      <c r="C22" s="11" t="n">
        <v>20</v>
      </c>
      <c r="D22" s="12" t="n">
        <f aca="false">$B$11</f>
        <v>2</v>
      </c>
      <c r="E22" s="12" t="n">
        <f aca="false">$B$10</f>
        <v>4</v>
      </c>
      <c r="F22" s="12" t="n">
        <f aca="false">$B$12</f>
        <v>1.5</v>
      </c>
      <c r="G22" s="12" t="n">
        <f aca="false">D22+E22+F22+$B$13</f>
        <v>8.5</v>
      </c>
      <c r="H22" s="13" t="n">
        <f aca="false">B22*C22*G22</f>
        <v>170</v>
      </c>
    </row>
    <row r="23" customFormat="false" ht="15" hidden="false" customHeight="false" outlineLevel="0" collapsed="false">
      <c r="A23" s="14" t="s">
        <v>28</v>
      </c>
      <c r="B23" s="15" t="n">
        <v>1</v>
      </c>
      <c r="C23" s="16" t="n">
        <v>22</v>
      </c>
      <c r="D23" s="17" t="n">
        <f aca="false">$B$11</f>
        <v>2</v>
      </c>
      <c r="E23" s="17" t="n">
        <f aca="false">$B$10</f>
        <v>4</v>
      </c>
      <c r="F23" s="17" t="n">
        <f aca="false">$B$12</f>
        <v>1.5</v>
      </c>
      <c r="G23" s="17" t="n">
        <f aca="false">D23+E23+F23+$B$13</f>
        <v>8.5</v>
      </c>
      <c r="H23" s="18" t="n">
        <f aca="false">B23*C23*G23</f>
        <v>187</v>
      </c>
    </row>
    <row r="24" customFormat="false" ht="15" hidden="false" customHeight="false" outlineLevel="0" collapsed="false">
      <c r="A24" s="9" t="s">
        <v>29</v>
      </c>
      <c r="B24" s="10" t="n">
        <v>1</v>
      </c>
      <c r="C24" s="11" t="n">
        <v>14</v>
      </c>
      <c r="D24" s="12" t="n">
        <f aca="false">$B$11</f>
        <v>2</v>
      </c>
      <c r="E24" s="12" t="n">
        <f aca="false">$B$10</f>
        <v>4</v>
      </c>
      <c r="F24" s="12" t="n">
        <f aca="false">$B$12</f>
        <v>1.5</v>
      </c>
      <c r="G24" s="12" t="n">
        <f aca="false">D24+E24+F24+$B$13</f>
        <v>8.5</v>
      </c>
      <c r="H24" s="13" t="n">
        <f aca="false">B24*C24*G24</f>
        <v>119</v>
      </c>
    </row>
    <row r="25" customFormat="false" ht="15" hidden="false" customHeight="false" outlineLevel="0" collapsed="false">
      <c r="A25" s="14" t="s">
        <v>30</v>
      </c>
      <c r="B25" s="15" t="n">
        <v>1</v>
      </c>
      <c r="C25" s="16" t="n">
        <v>17</v>
      </c>
      <c r="D25" s="17" t="n">
        <f aca="false">$B$11</f>
        <v>2</v>
      </c>
      <c r="E25" s="17" t="n">
        <f aca="false">$B$10</f>
        <v>4</v>
      </c>
      <c r="F25" s="17" t="n">
        <f aca="false">$B$12</f>
        <v>1.5</v>
      </c>
      <c r="G25" s="17" t="n">
        <f aca="false">D25+E25+F25+$B$13</f>
        <v>8.5</v>
      </c>
      <c r="H25" s="18" t="n">
        <f aca="false">B25*C25*G25</f>
        <v>144.5</v>
      </c>
    </row>
    <row r="26" customFormat="false" ht="15" hidden="false" customHeight="false" outlineLevel="0" collapsed="false">
      <c r="A26" s="19" t="s">
        <v>31</v>
      </c>
      <c r="B26" s="20" t="n">
        <f aca="false">SUM(B18:B25)</f>
        <v>12</v>
      </c>
      <c r="C26" s="21"/>
      <c r="D26" s="21"/>
      <c r="E26" s="21"/>
      <c r="F26" s="21"/>
      <c r="G26" s="21"/>
      <c r="H26" s="22" t="n">
        <f aca="false">SUM(H18:H25)</f>
        <v>1836</v>
      </c>
    </row>
    <row r="28" customFormat="false" ht="15" hidden="false" customHeight="false" outlineLevel="0" collapsed="false">
      <c r="A28" s="7" t="s">
        <v>32</v>
      </c>
      <c r="B28" s="7"/>
      <c r="C28" s="7"/>
      <c r="D28" s="7"/>
      <c r="E28" s="7"/>
      <c r="F28" s="7"/>
      <c r="G28" s="7"/>
      <c r="H28" s="7"/>
    </row>
    <row r="29" customFormat="false" ht="15" hidden="false" customHeight="false" outlineLevel="0" collapsed="false">
      <c r="A29" s="5" t="s">
        <v>22</v>
      </c>
      <c r="B29" s="23" t="n">
        <f aca="false">H26</f>
        <v>1836</v>
      </c>
    </row>
    <row r="30" customFormat="false" ht="15" hidden="false" customHeight="false" outlineLevel="0" collapsed="false">
      <c r="A30" s="5" t="s">
        <v>33</v>
      </c>
      <c r="B30" s="24" t="n">
        <v>0</v>
      </c>
    </row>
    <row r="31" customFormat="false" ht="15" hidden="false" customHeight="false" outlineLevel="0" collapsed="false">
      <c r="A31" s="5" t="s">
        <v>34</v>
      </c>
      <c r="B31" s="24" t="n">
        <v>0</v>
      </c>
    </row>
    <row r="32" customFormat="false" ht="15" hidden="false" customHeight="false" outlineLevel="0" collapsed="false">
      <c r="A32" s="5" t="s">
        <v>35</v>
      </c>
      <c r="B32" s="23" t="n">
        <f aca="false">B29+B30+B31</f>
        <v>1836</v>
      </c>
    </row>
    <row r="33" customFormat="false" ht="15" hidden="false" customHeight="false" outlineLevel="0" collapsed="false">
      <c r="A33" s="5"/>
      <c r="B33" s="25"/>
    </row>
    <row r="34" customFormat="false" ht="15" hidden="false" customHeight="false" outlineLevel="0" collapsed="false">
      <c r="A34" s="5" t="s">
        <v>36</v>
      </c>
      <c r="B34" s="24" t="n">
        <v>5000</v>
      </c>
    </row>
    <row r="35" customFormat="false" ht="15" hidden="false" customHeight="false" outlineLevel="0" collapsed="false">
      <c r="A35" s="5" t="s">
        <v>37</v>
      </c>
      <c r="B35" s="24" t="n">
        <v>1500</v>
      </c>
    </row>
    <row r="36" customFormat="false" ht="15" hidden="false" customHeight="false" outlineLevel="0" collapsed="false">
      <c r="A36" s="5" t="s">
        <v>38</v>
      </c>
      <c r="B36" s="24" t="n">
        <v>200</v>
      </c>
    </row>
    <row r="37" customFormat="false" ht="15" hidden="false" customHeight="false" outlineLevel="0" collapsed="false">
      <c r="A37" s="5" t="s">
        <v>39</v>
      </c>
      <c r="B37" s="24" t="n">
        <v>100</v>
      </c>
    </row>
    <row r="38" customFormat="false" ht="15" hidden="false" customHeight="false" outlineLevel="0" collapsed="false">
      <c r="A38" s="5" t="s">
        <v>40</v>
      </c>
      <c r="B38" s="23" t="n">
        <f aca="false">B32+B35+B36+B37</f>
        <v>3636</v>
      </c>
    </row>
    <row r="39" customFormat="false" ht="15" hidden="false" customHeight="false" outlineLevel="0" collapsed="false">
      <c r="A39" s="5"/>
      <c r="B39" s="25"/>
    </row>
    <row r="40" customFormat="false" ht="15" hidden="false" customHeight="false" outlineLevel="0" collapsed="false">
      <c r="A40" s="26" t="s">
        <v>41</v>
      </c>
      <c r="B40" s="27" t="n">
        <f aca="false">B34-B38</f>
        <v>1364</v>
      </c>
    </row>
    <row r="41" customFormat="false" ht="15" hidden="false" customHeight="false" outlineLevel="0" collapsed="false">
      <c r="A41" s="5" t="s">
        <v>42</v>
      </c>
      <c r="B41" s="28" t="n">
        <f aca="false">IF(B34&gt;0,B40/B34,0)</f>
        <v>0.2728</v>
      </c>
    </row>
    <row r="42" customFormat="false" ht="15" hidden="false" customHeight="false" outlineLevel="0" collapsed="false">
      <c r="A42" s="5" t="s">
        <v>43</v>
      </c>
      <c r="B42" s="28" t="n">
        <f aca="false">IF(B34&gt;0,B32/B34,0)</f>
        <v>0.3672</v>
      </c>
    </row>
    <row r="43" customFormat="false" ht="15" hidden="false" customHeight="false" outlineLevel="0" collapsed="false">
      <c r="A43" s="5" t="s">
        <v>44</v>
      </c>
      <c r="B43" s="23" t="n">
        <f aca="false">IF(B9&gt;0,B32/B9,0)</f>
        <v>18.36</v>
      </c>
    </row>
    <row r="45" customFormat="false" ht="15" hidden="false" customHeight="false" outlineLevel="0" collapsed="false">
      <c r="A45" s="29" t="s">
        <v>45</v>
      </c>
      <c r="B45" s="29"/>
      <c r="C45" s="29"/>
      <c r="D45" s="29"/>
      <c r="E45" s="29"/>
      <c r="F45" s="29"/>
      <c r="G45" s="29"/>
      <c r="H45" s="29"/>
    </row>
  </sheetData>
  <mergeCells count="7">
    <mergeCell ref="A1:H1"/>
    <mergeCell ref="A2:H2"/>
    <mergeCell ref="A3:H3"/>
    <mergeCell ref="A5:H5"/>
    <mergeCell ref="A16:H16"/>
    <mergeCell ref="A28:H28"/>
    <mergeCell ref="A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2026-02-10T14:05:33Z</dcterms:created>
  <dc:creator>openpyxl</dc:creator>
  <dc:description/>
  <dc:language>en-US</dc:language>
  <cp:lastModifiedBy/>
  <dcterms:modified xsi:type="dcterms:W3CDTF">2026-02-10T14:05:33Z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