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abor Trackin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\$#,##0.00"/>
    <numFmt numFmtId="166" formatCode="\$#,##0.00;&quot;($&quot;#,##0.00\);\-"/>
    <numFmt numFmtId="167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3460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E94560"/>
      <sz val="10"/>
    </font>
  </fonts>
  <fills count="4">
    <fill>
      <patternFill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rgb="FFF5F5F5"/>
        <bgColor rgb="FFFFFFF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general" vertical="bottom"/>
    </xf>
    <xf numFmtId="166" fontId="9" fillId="3" borderId="1" applyAlignment="1" pivotButton="0" quotePrefix="0" xfId="0">
      <alignment horizontal="center" vertical="center" wrapText="1"/>
    </xf>
    <xf numFmtId="167" fontId="9" fillId="3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general" vertical="bottom"/>
    </xf>
    <xf numFmtId="166" fontId="9" fillId="3" borderId="1" applyAlignment="1" pivotButton="0" quotePrefix="0" xfId="0">
      <alignment horizontal="center" vertical="center" wrapText="1"/>
    </xf>
    <xf numFmtId="167" fontId="9" fillId="3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L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4" min="1" max="1"/>
    <col width="22" customWidth="1" style="24" min="2" max="2"/>
    <col width="14" customWidth="1" style="24" min="3" max="3"/>
    <col width="12" customWidth="1" style="24" min="4" max="5"/>
    <col width="14" customWidth="1" style="24" min="6" max="11"/>
    <col width="16" customWidth="1" style="24" min="12" max="12"/>
  </cols>
  <sheetData>
    <row r="1" ht="30" customHeight="1" s="25">
      <c r="A1" s="26" t="inlineStr">
        <is>
          <t>LABOR COST TRACKING SHEET</t>
        </is>
      </c>
    </row>
    <row r="2" ht="15" customHeight="1" s="25">
      <c r="A2" s="27" t="inlineStr">
        <is>
          <t>The Catering Profit System  |  Module 1  |  Track planned vs. actual labor for every event</t>
        </is>
      </c>
    </row>
    <row r="3" ht="15" customHeight="1" s="25">
      <c r="A3" s="28" t="inlineStr">
        <is>
          <t>Fill in after EVERY event. Review weekly. Blue = your inputs, Black = formulas.</t>
        </is>
      </c>
    </row>
    <row r="4"/>
    <row r="5" ht="26.85" customHeight="1" s="25">
      <c r="A5" s="29" t="inlineStr">
        <is>
          <t>Date</t>
        </is>
      </c>
      <c r="B5" s="29" t="inlineStr">
        <is>
          <t>Event Name</t>
        </is>
      </c>
      <c r="C5" s="29" t="inlineStr">
        <is>
          <t>Event Type</t>
        </is>
      </c>
      <c r="D5" s="29" t="inlineStr">
        <is>
          <t>Guest Count</t>
        </is>
      </c>
      <c r="E5" s="29" t="inlineStr">
        <is>
          <t># Staff</t>
        </is>
      </c>
      <c r="F5" s="29" t="inlineStr">
        <is>
          <t>Planned Labor $</t>
        </is>
      </c>
      <c r="G5" s="29" t="inlineStr">
        <is>
          <t>Actual Labor $</t>
        </is>
      </c>
      <c r="H5" s="29" t="inlineStr">
        <is>
          <t>Variance $</t>
        </is>
      </c>
      <c r="I5" s="29" t="inlineStr">
        <is>
          <t>Variance %</t>
        </is>
      </c>
      <c r="J5" s="29" t="inlineStr">
        <is>
          <t>Event Revenue</t>
        </is>
      </c>
      <c r="K5" s="29" t="inlineStr">
        <is>
          <t>Actual Labor %</t>
        </is>
      </c>
      <c r="L5" s="29" t="inlineStr">
        <is>
          <t>Notes</t>
        </is>
      </c>
    </row>
    <row r="6" ht="15" customHeight="1" s="25">
      <c r="A6" s="30" t="n"/>
      <c r="B6" s="31" t="n"/>
      <c r="C6" s="31" t="n"/>
      <c r="D6" s="32" t="n"/>
      <c r="E6" s="32" t="n"/>
      <c r="F6" s="33" t="n"/>
      <c r="G6" s="33" t="n"/>
      <c r="H6" s="34">
        <f>IF(AND(F6&lt;&gt;"",G6&lt;&gt;""),G6-F6,"")</f>
        <v/>
      </c>
      <c r="I6" s="35">
        <f>IF(AND(F6&lt;&gt;"",F6&lt;&gt;0,G6&lt;&gt;""),(G6-F6)/F6,"")</f>
        <v/>
      </c>
      <c r="J6" s="33" t="n"/>
      <c r="K6" s="35">
        <f>IF(AND(G6&lt;&gt;"",J6&lt;&gt;"",J6&lt;&gt;0),G6/J6,"")</f>
        <v/>
      </c>
      <c r="L6" s="31" t="n"/>
    </row>
    <row r="7" ht="15" customHeight="1" s="25">
      <c r="A7" s="36" t="n"/>
      <c r="B7" s="37" t="n"/>
      <c r="C7" s="37" t="n"/>
      <c r="D7" s="38" t="n"/>
      <c r="E7" s="38" t="n"/>
      <c r="F7" s="39" t="n"/>
      <c r="G7" s="39" t="n"/>
      <c r="H7" s="40">
        <f>IF(AND(F7&lt;&gt;"",G7&lt;&gt;""),G7-F7,"")</f>
        <v/>
      </c>
      <c r="I7" s="41">
        <f>IF(AND(F7&lt;&gt;"",F7&lt;&gt;0,G7&lt;&gt;""),(G7-F7)/F7,"")</f>
        <v/>
      </c>
      <c r="J7" s="39" t="n"/>
      <c r="K7" s="41">
        <f>IF(AND(G7&lt;&gt;"",J7&lt;&gt;"",J7&lt;&gt;0),G7/J7,"")</f>
        <v/>
      </c>
      <c r="L7" s="37" t="n"/>
    </row>
    <row r="8" ht="15" customHeight="1" s="25">
      <c r="A8" s="30" t="n"/>
      <c r="B8" s="31" t="n"/>
      <c r="C8" s="31" t="n"/>
      <c r="D8" s="32" t="n"/>
      <c r="E8" s="32" t="n"/>
      <c r="F8" s="33" t="n"/>
      <c r="G8" s="33" t="n"/>
      <c r="H8" s="34">
        <f>IF(AND(F8&lt;&gt;"",G8&lt;&gt;""),G8-F8,"")</f>
        <v/>
      </c>
      <c r="I8" s="35">
        <f>IF(AND(F8&lt;&gt;"",F8&lt;&gt;0,G8&lt;&gt;""),(G8-F8)/F8,"")</f>
        <v/>
      </c>
      <c r="J8" s="33" t="n"/>
      <c r="K8" s="35">
        <f>IF(AND(G8&lt;&gt;"",J8&lt;&gt;"",J8&lt;&gt;0),G8/J8,"")</f>
        <v/>
      </c>
      <c r="L8" s="31" t="n"/>
    </row>
    <row r="9" ht="15" customHeight="1" s="25">
      <c r="A9" s="36" t="n"/>
      <c r="B9" s="37" t="n"/>
      <c r="C9" s="37" t="n"/>
      <c r="D9" s="38" t="n"/>
      <c r="E9" s="38" t="n"/>
      <c r="F9" s="39" t="n"/>
      <c r="G9" s="39" t="n"/>
      <c r="H9" s="40">
        <f>IF(AND(F9&lt;&gt;"",G9&lt;&gt;""),G9-F9,"")</f>
        <v/>
      </c>
      <c r="I9" s="41">
        <f>IF(AND(F9&lt;&gt;"",F9&lt;&gt;0,G9&lt;&gt;""),(G9-F9)/F9,"")</f>
        <v/>
      </c>
      <c r="J9" s="39" t="n"/>
      <c r="K9" s="41">
        <f>IF(AND(G9&lt;&gt;"",J9&lt;&gt;"",J9&lt;&gt;0),G9/J9,"")</f>
        <v/>
      </c>
      <c r="L9" s="37" t="n"/>
    </row>
    <row r="10" ht="15" customHeight="1" s="25">
      <c r="A10" s="30" t="n"/>
      <c r="B10" s="31" t="n"/>
      <c r="C10" s="31" t="n"/>
      <c r="D10" s="32" t="n"/>
      <c r="E10" s="32" t="n"/>
      <c r="F10" s="33" t="n"/>
      <c r="G10" s="33" t="n"/>
      <c r="H10" s="34">
        <f>IF(AND(F10&lt;&gt;"",G10&lt;&gt;""),G10-F10,"")</f>
        <v/>
      </c>
      <c r="I10" s="35">
        <f>IF(AND(F10&lt;&gt;"",F10&lt;&gt;0,G10&lt;&gt;""),(G10-F10)/F10,"")</f>
        <v/>
      </c>
      <c r="J10" s="33" t="n"/>
      <c r="K10" s="35">
        <f>IF(AND(G10&lt;&gt;"",J10&lt;&gt;"",J10&lt;&gt;0),G10/J10,"")</f>
        <v/>
      </c>
      <c r="L10" s="31" t="n"/>
    </row>
    <row r="11" ht="15" customHeight="1" s="25">
      <c r="A11" s="36" t="n"/>
      <c r="B11" s="37" t="n"/>
      <c r="C11" s="37" t="n"/>
      <c r="D11" s="38" t="n"/>
      <c r="E11" s="38" t="n"/>
      <c r="F11" s="39" t="n"/>
      <c r="G11" s="39" t="n"/>
      <c r="H11" s="40">
        <f>IF(AND(F11&lt;&gt;"",G11&lt;&gt;""),G11-F11,"")</f>
        <v/>
      </c>
      <c r="I11" s="41">
        <f>IF(AND(F11&lt;&gt;"",F11&lt;&gt;0,G11&lt;&gt;""),(G11-F11)/F11,"")</f>
        <v/>
      </c>
      <c r="J11" s="39" t="n"/>
      <c r="K11" s="41">
        <f>IF(AND(G11&lt;&gt;"",J11&lt;&gt;"",J11&lt;&gt;0),G11/J11,"")</f>
        <v/>
      </c>
      <c r="L11" s="37" t="n"/>
    </row>
    <row r="12" ht="15" customHeight="1" s="25">
      <c r="A12" s="30" t="n"/>
      <c r="B12" s="31" t="n"/>
      <c r="C12" s="31" t="n"/>
      <c r="D12" s="32" t="n"/>
      <c r="E12" s="32" t="n"/>
      <c r="F12" s="33" t="n"/>
      <c r="G12" s="33" t="n"/>
      <c r="H12" s="34">
        <f>IF(AND(F12&lt;&gt;"",G12&lt;&gt;""),G12-F12,"")</f>
        <v/>
      </c>
      <c r="I12" s="35">
        <f>IF(AND(F12&lt;&gt;"",F12&lt;&gt;0,G12&lt;&gt;""),(G12-F12)/F12,"")</f>
        <v/>
      </c>
      <c r="J12" s="33" t="n"/>
      <c r="K12" s="35">
        <f>IF(AND(G12&lt;&gt;"",J12&lt;&gt;"",J12&lt;&gt;0),G12/J12,"")</f>
        <v/>
      </c>
      <c r="L12" s="31" t="n"/>
    </row>
    <row r="13" ht="15" customHeight="1" s="25">
      <c r="A13" s="36" t="n"/>
      <c r="B13" s="37" t="n"/>
      <c r="C13" s="37" t="n"/>
      <c r="D13" s="38" t="n"/>
      <c r="E13" s="38" t="n"/>
      <c r="F13" s="39" t="n"/>
      <c r="G13" s="39" t="n"/>
      <c r="H13" s="40">
        <f>IF(AND(F13&lt;&gt;"",G13&lt;&gt;""),G13-F13,"")</f>
        <v/>
      </c>
      <c r="I13" s="41">
        <f>IF(AND(F13&lt;&gt;"",F13&lt;&gt;0,G13&lt;&gt;""),(G13-F13)/F13,"")</f>
        <v/>
      </c>
      <c r="J13" s="39" t="n"/>
      <c r="K13" s="41">
        <f>IF(AND(G13&lt;&gt;"",J13&lt;&gt;"",J13&lt;&gt;0),G13/J13,"")</f>
        <v/>
      </c>
      <c r="L13" s="37" t="n"/>
    </row>
    <row r="14" ht="15" customHeight="1" s="25">
      <c r="A14" s="30" t="n"/>
      <c r="B14" s="31" t="n"/>
      <c r="C14" s="31" t="n"/>
      <c r="D14" s="32" t="n"/>
      <c r="E14" s="32" t="n"/>
      <c r="F14" s="33" t="n"/>
      <c r="G14" s="33" t="n"/>
      <c r="H14" s="34">
        <f>IF(AND(F14&lt;&gt;"",G14&lt;&gt;""),G14-F14,"")</f>
        <v/>
      </c>
      <c r="I14" s="35">
        <f>IF(AND(F14&lt;&gt;"",F14&lt;&gt;0,G14&lt;&gt;""),(G14-F14)/F14,"")</f>
        <v/>
      </c>
      <c r="J14" s="33" t="n"/>
      <c r="K14" s="35">
        <f>IF(AND(G14&lt;&gt;"",J14&lt;&gt;"",J14&lt;&gt;0),G14/J14,"")</f>
        <v/>
      </c>
      <c r="L14" s="31" t="n"/>
    </row>
    <row r="15" ht="15" customHeight="1" s="25">
      <c r="A15" s="36" t="n"/>
      <c r="B15" s="37" t="n"/>
      <c r="C15" s="37" t="n"/>
      <c r="D15" s="38" t="n"/>
      <c r="E15" s="38" t="n"/>
      <c r="F15" s="39" t="n"/>
      <c r="G15" s="39" t="n"/>
      <c r="H15" s="40">
        <f>IF(AND(F15&lt;&gt;"",G15&lt;&gt;""),G15-F15,"")</f>
        <v/>
      </c>
      <c r="I15" s="41">
        <f>IF(AND(F15&lt;&gt;"",F15&lt;&gt;0,G15&lt;&gt;""),(G15-F15)/F15,"")</f>
        <v/>
      </c>
      <c r="J15" s="39" t="n"/>
      <c r="K15" s="41">
        <f>IF(AND(G15&lt;&gt;"",J15&lt;&gt;"",J15&lt;&gt;0),G15/J15,"")</f>
        <v/>
      </c>
      <c r="L15" s="37" t="n"/>
    </row>
    <row r="16" ht="15" customHeight="1" s="25">
      <c r="A16" s="30" t="n"/>
      <c r="B16" s="31" t="n"/>
      <c r="C16" s="31" t="n"/>
      <c r="D16" s="32" t="n"/>
      <c r="E16" s="32" t="n"/>
      <c r="F16" s="33" t="n"/>
      <c r="G16" s="33" t="n"/>
      <c r="H16" s="34">
        <f>IF(AND(F16&lt;&gt;"",G16&lt;&gt;""),G16-F16,"")</f>
        <v/>
      </c>
      <c r="I16" s="35">
        <f>IF(AND(F16&lt;&gt;"",F16&lt;&gt;0,G16&lt;&gt;""),(G16-F16)/F16,"")</f>
        <v/>
      </c>
      <c r="J16" s="33" t="n"/>
      <c r="K16" s="35">
        <f>IF(AND(G16&lt;&gt;"",J16&lt;&gt;"",J16&lt;&gt;0),G16/J16,"")</f>
        <v/>
      </c>
      <c r="L16" s="31" t="n"/>
    </row>
    <row r="17" ht="15" customHeight="1" s="25">
      <c r="A17" s="36" t="n"/>
      <c r="B17" s="37" t="n"/>
      <c r="C17" s="37" t="n"/>
      <c r="D17" s="38" t="n"/>
      <c r="E17" s="38" t="n"/>
      <c r="F17" s="39" t="n"/>
      <c r="G17" s="39" t="n"/>
      <c r="H17" s="40">
        <f>IF(AND(F17&lt;&gt;"",G17&lt;&gt;""),G17-F17,"")</f>
        <v/>
      </c>
      <c r="I17" s="41">
        <f>IF(AND(F17&lt;&gt;"",F17&lt;&gt;0,G17&lt;&gt;""),(G17-F17)/F17,"")</f>
        <v/>
      </c>
      <c r="J17" s="39" t="n"/>
      <c r="K17" s="41">
        <f>IF(AND(G17&lt;&gt;"",J17&lt;&gt;"",J17&lt;&gt;0),G17/J17,"")</f>
        <v/>
      </c>
      <c r="L17" s="37" t="n"/>
    </row>
    <row r="18" ht="15" customHeight="1" s="25">
      <c r="A18" s="30" t="n"/>
      <c r="B18" s="31" t="n"/>
      <c r="C18" s="31" t="n"/>
      <c r="D18" s="32" t="n"/>
      <c r="E18" s="32" t="n"/>
      <c r="F18" s="33" t="n"/>
      <c r="G18" s="33" t="n"/>
      <c r="H18" s="34">
        <f>IF(AND(F18&lt;&gt;"",G18&lt;&gt;""),G18-F18,"")</f>
        <v/>
      </c>
      <c r="I18" s="35">
        <f>IF(AND(F18&lt;&gt;"",F18&lt;&gt;0,G18&lt;&gt;""),(G18-F18)/F18,"")</f>
        <v/>
      </c>
      <c r="J18" s="33" t="n"/>
      <c r="K18" s="35">
        <f>IF(AND(G18&lt;&gt;"",J18&lt;&gt;"",J18&lt;&gt;0),G18/J18,"")</f>
        <v/>
      </c>
      <c r="L18" s="31" t="n"/>
    </row>
    <row r="19" ht="15" customHeight="1" s="25">
      <c r="A19" s="36" t="n"/>
      <c r="B19" s="37" t="n"/>
      <c r="C19" s="37" t="n"/>
      <c r="D19" s="38" t="n"/>
      <c r="E19" s="38" t="n"/>
      <c r="F19" s="39" t="n"/>
      <c r="G19" s="39" t="n"/>
      <c r="H19" s="40">
        <f>IF(AND(F19&lt;&gt;"",G19&lt;&gt;""),G19-F19,"")</f>
        <v/>
      </c>
      <c r="I19" s="41">
        <f>IF(AND(F19&lt;&gt;"",F19&lt;&gt;0,G19&lt;&gt;""),(G19-F19)/F19,"")</f>
        <v/>
      </c>
      <c r="J19" s="39" t="n"/>
      <c r="K19" s="41">
        <f>IF(AND(G19&lt;&gt;"",J19&lt;&gt;"",J19&lt;&gt;0),G19/J19,"")</f>
        <v/>
      </c>
      <c r="L19" s="37" t="n"/>
    </row>
    <row r="20" ht="15" customHeight="1" s="25">
      <c r="A20" s="30" t="n"/>
      <c r="B20" s="31" t="n"/>
      <c r="C20" s="31" t="n"/>
      <c r="D20" s="32" t="n"/>
      <c r="E20" s="32" t="n"/>
      <c r="F20" s="33" t="n"/>
      <c r="G20" s="33" t="n"/>
      <c r="H20" s="34">
        <f>IF(AND(F20&lt;&gt;"",G20&lt;&gt;""),G20-F20,"")</f>
        <v/>
      </c>
      <c r="I20" s="35">
        <f>IF(AND(F20&lt;&gt;"",F20&lt;&gt;0,G20&lt;&gt;""),(G20-F20)/F20,"")</f>
        <v/>
      </c>
      <c r="J20" s="33" t="n"/>
      <c r="K20" s="35">
        <f>IF(AND(G20&lt;&gt;"",J20&lt;&gt;"",J20&lt;&gt;0),G20/J20,"")</f>
        <v/>
      </c>
      <c r="L20" s="31" t="n"/>
    </row>
    <row r="21" ht="15" customHeight="1" s="25">
      <c r="A21" s="36" t="n"/>
      <c r="B21" s="37" t="n"/>
      <c r="C21" s="37" t="n"/>
      <c r="D21" s="38" t="n"/>
      <c r="E21" s="38" t="n"/>
      <c r="F21" s="39" t="n"/>
      <c r="G21" s="39" t="n"/>
      <c r="H21" s="40">
        <f>IF(AND(F21&lt;&gt;"",G21&lt;&gt;""),G21-F21,"")</f>
        <v/>
      </c>
      <c r="I21" s="41">
        <f>IF(AND(F21&lt;&gt;"",F21&lt;&gt;0,G21&lt;&gt;""),(G21-F21)/F21,"")</f>
        <v/>
      </c>
      <c r="J21" s="39" t="n"/>
      <c r="K21" s="41">
        <f>IF(AND(G21&lt;&gt;"",J21&lt;&gt;"",J21&lt;&gt;0),G21/J21,"")</f>
        <v/>
      </c>
      <c r="L21" s="37" t="n"/>
    </row>
    <row r="22" ht="15" customHeight="1" s="25">
      <c r="A22" s="30" t="n"/>
      <c r="B22" s="31" t="n"/>
      <c r="C22" s="31" t="n"/>
      <c r="D22" s="32" t="n"/>
      <c r="E22" s="32" t="n"/>
      <c r="F22" s="33" t="n"/>
      <c r="G22" s="33" t="n"/>
      <c r="H22" s="34">
        <f>IF(AND(F22&lt;&gt;"",G22&lt;&gt;""),G22-F22,"")</f>
        <v/>
      </c>
      <c r="I22" s="35">
        <f>IF(AND(F22&lt;&gt;"",F22&lt;&gt;0,G22&lt;&gt;""),(G22-F22)/F22,"")</f>
        <v/>
      </c>
      <c r="J22" s="33" t="n"/>
      <c r="K22" s="35">
        <f>IF(AND(G22&lt;&gt;"",J22&lt;&gt;"",J22&lt;&gt;0),G22/J22,"")</f>
        <v/>
      </c>
      <c r="L22" s="31" t="n"/>
    </row>
    <row r="23" ht="15" customHeight="1" s="25">
      <c r="A23" s="36" t="n"/>
      <c r="B23" s="37" t="n"/>
      <c r="C23" s="37" t="n"/>
      <c r="D23" s="38" t="n"/>
      <c r="E23" s="38" t="n"/>
      <c r="F23" s="39" t="n"/>
      <c r="G23" s="39" t="n"/>
      <c r="H23" s="40">
        <f>IF(AND(F23&lt;&gt;"",G23&lt;&gt;""),G23-F23,"")</f>
        <v/>
      </c>
      <c r="I23" s="41">
        <f>IF(AND(F23&lt;&gt;"",F23&lt;&gt;0,G23&lt;&gt;""),(G23-F23)/F23,"")</f>
        <v/>
      </c>
      <c r="J23" s="39" t="n"/>
      <c r="K23" s="41">
        <f>IF(AND(G23&lt;&gt;"",J23&lt;&gt;"",J23&lt;&gt;0),G23/J23,"")</f>
        <v/>
      </c>
      <c r="L23" s="37" t="n"/>
    </row>
    <row r="24" ht="15" customHeight="1" s="25">
      <c r="A24" s="30" t="n"/>
      <c r="B24" s="31" t="n"/>
      <c r="C24" s="31" t="n"/>
      <c r="D24" s="32" t="n"/>
      <c r="E24" s="32" t="n"/>
      <c r="F24" s="33" t="n"/>
      <c r="G24" s="33" t="n"/>
      <c r="H24" s="34">
        <f>IF(AND(F24&lt;&gt;"",G24&lt;&gt;""),G24-F24,"")</f>
        <v/>
      </c>
      <c r="I24" s="35">
        <f>IF(AND(F24&lt;&gt;"",F24&lt;&gt;0,G24&lt;&gt;""),(G24-F24)/F24,"")</f>
        <v/>
      </c>
      <c r="J24" s="33" t="n"/>
      <c r="K24" s="35">
        <f>IF(AND(G24&lt;&gt;"",J24&lt;&gt;"",J24&lt;&gt;0),G24/J24,"")</f>
        <v/>
      </c>
      <c r="L24" s="31" t="n"/>
    </row>
    <row r="25" ht="15" customHeight="1" s="25">
      <c r="A25" s="36" t="n"/>
      <c r="B25" s="37" t="n"/>
      <c r="C25" s="37" t="n"/>
      <c r="D25" s="38" t="n"/>
      <c r="E25" s="38" t="n"/>
      <c r="F25" s="39" t="n"/>
      <c r="G25" s="39" t="n"/>
      <c r="H25" s="40">
        <f>IF(AND(F25&lt;&gt;"",G25&lt;&gt;""),G25-F25,"")</f>
        <v/>
      </c>
      <c r="I25" s="41">
        <f>IF(AND(F25&lt;&gt;"",F25&lt;&gt;0,G25&lt;&gt;""),(G25-F25)/F25,"")</f>
        <v/>
      </c>
      <c r="J25" s="39" t="n"/>
      <c r="K25" s="41">
        <f>IF(AND(G25&lt;&gt;"",J25&lt;&gt;"",J25&lt;&gt;0),G25/J25,"")</f>
        <v/>
      </c>
      <c r="L25" s="37" t="n"/>
    </row>
    <row r="26" ht="15" customHeight="1" s="25">
      <c r="A26" s="30" t="n"/>
      <c r="B26" s="31" t="n"/>
      <c r="C26" s="31" t="n"/>
      <c r="D26" s="32" t="n"/>
      <c r="E26" s="32" t="n"/>
      <c r="F26" s="33" t="n"/>
      <c r="G26" s="33" t="n"/>
      <c r="H26" s="34">
        <f>IF(AND(F26&lt;&gt;"",G26&lt;&gt;""),G26-F26,"")</f>
        <v/>
      </c>
      <c r="I26" s="35">
        <f>IF(AND(F26&lt;&gt;"",F26&lt;&gt;0,G26&lt;&gt;""),(G26-F26)/F26,"")</f>
        <v/>
      </c>
      <c r="J26" s="33" t="n"/>
      <c r="K26" s="35">
        <f>IF(AND(G26&lt;&gt;"",J26&lt;&gt;"",J26&lt;&gt;0),G26/J26,"")</f>
        <v/>
      </c>
      <c r="L26" s="31" t="n"/>
    </row>
    <row r="27" ht="15" customHeight="1" s="25">
      <c r="A27" s="36" t="n"/>
      <c r="B27" s="37" t="n"/>
      <c r="C27" s="37" t="n"/>
      <c r="D27" s="38" t="n"/>
      <c r="E27" s="38" t="n"/>
      <c r="F27" s="39" t="n"/>
      <c r="G27" s="39" t="n"/>
      <c r="H27" s="40">
        <f>IF(AND(F27&lt;&gt;"",G27&lt;&gt;""),G27-F27,"")</f>
        <v/>
      </c>
      <c r="I27" s="41">
        <f>IF(AND(F27&lt;&gt;"",F27&lt;&gt;0,G27&lt;&gt;""),(G27-F27)/F27,"")</f>
        <v/>
      </c>
      <c r="J27" s="39" t="n"/>
      <c r="K27" s="41">
        <f>IF(AND(G27&lt;&gt;"",J27&lt;&gt;"",J27&lt;&gt;0),G27/J27,"")</f>
        <v/>
      </c>
      <c r="L27" s="37" t="n"/>
    </row>
    <row r="28" ht="15" customHeight="1" s="25">
      <c r="A28" s="30" t="n"/>
      <c r="B28" s="31" t="n"/>
      <c r="C28" s="31" t="n"/>
      <c r="D28" s="32" t="n"/>
      <c r="E28" s="32" t="n"/>
      <c r="F28" s="33" t="n"/>
      <c r="G28" s="33" t="n"/>
      <c r="H28" s="34">
        <f>IF(AND(F28&lt;&gt;"",G28&lt;&gt;""),G28-F28,"")</f>
        <v/>
      </c>
      <c r="I28" s="35">
        <f>IF(AND(F28&lt;&gt;"",F28&lt;&gt;0,G28&lt;&gt;""),(G28-F28)/F28,"")</f>
        <v/>
      </c>
      <c r="J28" s="33" t="n"/>
      <c r="K28" s="35">
        <f>IF(AND(G28&lt;&gt;"",J28&lt;&gt;"",J28&lt;&gt;0),G28/J28,"")</f>
        <v/>
      </c>
      <c r="L28" s="31" t="n"/>
    </row>
    <row r="29" ht="15" customHeight="1" s="25">
      <c r="A29" s="36" t="n"/>
      <c r="B29" s="37" t="n"/>
      <c r="C29" s="37" t="n"/>
      <c r="D29" s="38" t="n"/>
      <c r="E29" s="38" t="n"/>
      <c r="F29" s="39" t="n"/>
      <c r="G29" s="39" t="n"/>
      <c r="H29" s="40">
        <f>IF(AND(F29&lt;&gt;"",G29&lt;&gt;""),G29-F29,"")</f>
        <v/>
      </c>
      <c r="I29" s="41">
        <f>IF(AND(F29&lt;&gt;"",F29&lt;&gt;0,G29&lt;&gt;""),(G29-F29)/F29,"")</f>
        <v/>
      </c>
      <c r="J29" s="39" t="n"/>
      <c r="K29" s="41">
        <f>IF(AND(G29&lt;&gt;"",J29&lt;&gt;"",J29&lt;&gt;0),G29/J29,"")</f>
        <v/>
      </c>
      <c r="L29" s="37" t="n"/>
    </row>
    <row r="30" ht="15" customHeight="1" s="25">
      <c r="A30" s="30" t="n"/>
      <c r="B30" s="31" t="n"/>
      <c r="C30" s="31" t="n"/>
      <c r="D30" s="32" t="n"/>
      <c r="E30" s="32" t="n"/>
      <c r="F30" s="33" t="n"/>
      <c r="G30" s="33" t="n"/>
      <c r="H30" s="34">
        <f>IF(AND(F30&lt;&gt;"",G30&lt;&gt;""),G30-F30,"")</f>
        <v/>
      </c>
      <c r="I30" s="35">
        <f>IF(AND(F30&lt;&gt;"",F30&lt;&gt;0,G30&lt;&gt;""),(G30-F30)/F30,"")</f>
        <v/>
      </c>
      <c r="J30" s="33" t="n"/>
      <c r="K30" s="35">
        <f>IF(AND(G30&lt;&gt;"",J30&lt;&gt;"",J30&lt;&gt;0),G30/J30,"")</f>
        <v/>
      </c>
      <c r="L30" s="31" t="n"/>
    </row>
    <row r="31"/>
    <row r="32"/>
    <row r="33" ht="15" customHeight="1" s="25">
      <c r="A33" s="42" t="inlineStr">
        <is>
          <t>MONTHLY SUMMARY</t>
        </is>
      </c>
    </row>
    <row r="34" ht="15" customHeight="1" s="25">
      <c r="A34" s="43" t="inlineStr">
        <is>
          <t>Total Events</t>
        </is>
      </c>
      <c r="B34" s="44" t="n"/>
      <c r="C34" s="45" t="n"/>
      <c r="D34" s="46">
        <f>COUNTA(B6:B30)</f>
        <v/>
      </c>
    </row>
    <row r="35" ht="15" customHeight="1" s="25">
      <c r="A35" s="43" t="inlineStr">
        <is>
          <t>Total Guests Served</t>
        </is>
      </c>
      <c r="B35" s="44" t="n"/>
      <c r="C35" s="45" t="n"/>
      <c r="D35" s="46">
        <f>SUM(D6:D30)</f>
        <v/>
      </c>
    </row>
    <row r="36" ht="15" customHeight="1" s="25">
      <c r="A36" s="43" t="inlineStr">
        <is>
          <t>Total Planned Labor</t>
        </is>
      </c>
      <c r="B36" s="44" t="n"/>
      <c r="C36" s="45" t="n"/>
      <c r="D36" s="47">
        <f>SUM(F6:F30)</f>
        <v/>
      </c>
    </row>
    <row r="37" ht="15" customHeight="1" s="25">
      <c r="A37" s="43" t="inlineStr">
        <is>
          <t>Total Actual Labor</t>
        </is>
      </c>
      <c r="B37" s="44" t="n"/>
      <c r="C37" s="45" t="n"/>
      <c r="D37" s="47">
        <f>SUM(G6:G30)</f>
        <v/>
      </c>
    </row>
    <row r="38" ht="15" customHeight="1" s="25">
      <c r="A38" s="43" t="inlineStr">
        <is>
          <t>Total Variance</t>
        </is>
      </c>
      <c r="B38" s="44" t="n"/>
      <c r="C38" s="45" t="n"/>
      <c r="D38" s="48">
        <f>SUM(H6:H30)</f>
        <v/>
      </c>
    </row>
    <row r="39" ht="15" customHeight="1" s="25">
      <c r="A39" s="43" t="inlineStr">
        <is>
          <t>Average Labor % of Revenue</t>
        </is>
      </c>
      <c r="B39" s="44" t="n"/>
      <c r="C39" s="45" t="n"/>
      <c r="D39" s="49">
        <f>IF(SUM(J6:J30)&gt;0,SUM(G6:G30)/SUM(J6:J30),0)</f>
        <v/>
      </c>
    </row>
    <row r="40" ht="15" customHeight="1" s="25">
      <c r="A40" s="43" t="inlineStr">
        <is>
          <t>Average Labor Cost Per Guest</t>
        </is>
      </c>
      <c r="B40" s="44" t="n"/>
      <c r="C40" s="45" t="n"/>
      <c r="D40" s="47">
        <f>IF(SUM(D6:D30)&gt;0,SUM(G6:G30)/SUM(D6:D30),0)</f>
        <v/>
      </c>
    </row>
    <row r="41" ht="15" customHeight="1" s="25">
      <c r="A41" s="43" t="inlineStr">
        <is>
          <t>Worst Variance (single event)</t>
        </is>
      </c>
      <c r="B41" s="44" t="n"/>
      <c r="C41" s="45" t="n"/>
      <c r="D41" s="48">
        <f>MAX(H6:H30)</f>
        <v/>
      </c>
    </row>
    <row r="42" ht="15" customHeight="1" s="25">
      <c r="A42" s="43" t="inlineStr">
        <is>
          <t>Best Variance (single event)</t>
        </is>
      </c>
      <c r="B42" s="44" t="n"/>
      <c r="C42" s="45" t="n"/>
      <c r="D42" s="48">
        <f>MIN(H6:H30)</f>
        <v/>
      </c>
    </row>
    <row r="43"/>
    <row r="44"/>
    <row r="45" ht="15" customHeight="1" s="25">
      <c r="A45" s="50" t="inlineStr">
        <is>
          <t>Seeing consistent variances? A Profit Leak Snapshot ($350) identifies exactly where your labor dollars are going. trecoleman.com/profit-leak-snapshot</t>
        </is>
      </c>
    </row>
  </sheetData>
  <mergeCells count="14">
    <mergeCell ref="A42:C42"/>
    <mergeCell ref="A2:L2"/>
    <mergeCell ref="A41:C41"/>
    <mergeCell ref="A36:C36"/>
    <mergeCell ref="A33:L33"/>
    <mergeCell ref="A37:C37"/>
    <mergeCell ref="A1:L1"/>
    <mergeCell ref="A45:L45"/>
    <mergeCell ref="A40:C40"/>
    <mergeCell ref="A39:C39"/>
    <mergeCell ref="A34:C34"/>
    <mergeCell ref="A35:C35"/>
    <mergeCell ref="A3:L3"/>
    <mergeCell ref="A38:C3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2026-02-10T14:05:33Z</dcterms:created>
  <dcterms:modified xsi:type="dcterms:W3CDTF">2026-10-02T14:47:31Z</dcterms:modified>
  <cp:revision>0</cp:revision>
</cp:coreProperties>
</file>