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<sst xmlns="http://schemas.openxmlformats.org/spreadsheetml/2006/main" count="74" uniqueCount="72">
  <si>
    <t xml:space="preserve">FULL-COST PRICING CALCULATOR</t>
  </si>
  <si>
    <t xml:space="preserve">The Catering Profit System  |  Module 2: Pricing That Actually Works  |  trecoleman.com</t>
  </si>
  <si>
    <t xml:space="preserve">Blue cells = your inputs  |  Black cells = auto-calculated  |  This calculator accounts for EVERY cost</t>
  </si>
  <si>
    <t xml:space="preserve">EVENT INFORMATION</t>
  </si>
  <si>
    <t xml:space="preserve">Event Name</t>
  </si>
  <si>
    <t xml:space="preserve">Event Type</t>
  </si>
  <si>
    <t xml:space="preserve">Buffet</t>
  </si>
  <si>
    <t xml:space="preserve">Guest Count</t>
  </si>
  <si>
    <t xml:space="preserve">Service Style</t>
  </si>
  <si>
    <t xml:space="preserve">Full-service</t>
  </si>
  <si>
    <t xml:space="preserve">Event Date</t>
  </si>
  <si>
    <t xml:space="preserve">Venue Location</t>
  </si>
  <si>
    <t xml:space="preserve">SECTION 1: FOOD COST</t>
  </si>
  <si>
    <t xml:space="preserve">Menu Item / Category</t>
  </si>
  <si>
    <t xml:space="preserve">Cost Per Person</t>
  </si>
  <si>
    <t xml:space="preserve">Subtotal</t>
  </si>
  <si>
    <t xml:space="preserve">Notes</t>
  </si>
  <si>
    <t xml:space="preserve">Appetizers / Hors d'oeuvres</t>
  </si>
  <si>
    <t xml:space="preserve">Salads / Starters</t>
  </si>
  <si>
    <t xml:space="preserve">Main Entree(s)</t>
  </si>
  <si>
    <t xml:space="preserve">Side Dishes (2-3)</t>
  </si>
  <si>
    <t xml:space="preserve">Bread / Rolls</t>
  </si>
  <si>
    <t xml:space="preserve">Dessert</t>
  </si>
  <si>
    <t xml:space="preserve">Beverages (non-alcoholic)</t>
  </si>
  <si>
    <t xml:space="preserve">Alcohol / Bar</t>
  </si>
  <si>
    <t xml:space="preserve">Condiments / Extras</t>
  </si>
  <si>
    <t xml:space="preserve">Disposables / Servingware</t>
  </si>
  <si>
    <t xml:space="preserve">Food Waste Buffer (%)</t>
  </si>
  <si>
    <t xml:space="preserve">TOTAL FOOD COST</t>
  </si>
  <si>
    <t xml:space="preserve">SECTION 2: LABOR COST</t>
  </si>
  <si>
    <t xml:space="preserve">Role</t>
  </si>
  <si>
    <t xml:space="preserve"># Staff</t>
  </si>
  <si>
    <t xml:space="preserve">Hourly Rate</t>
  </si>
  <si>
    <t xml:space="preserve">Total Hours</t>
  </si>
  <si>
    <t xml:space="preserve">Head Chef / Kitchen Lead</t>
  </si>
  <si>
    <t xml:space="preserve">Line Cooks</t>
  </si>
  <si>
    <t xml:space="preserve">Prep Cooks</t>
  </si>
  <si>
    <t xml:space="preserve">Servers</t>
  </si>
  <si>
    <t xml:space="preserve">Bartender</t>
  </si>
  <si>
    <t xml:space="preserve">Event Captain</t>
  </si>
  <si>
    <t xml:space="preserve">Dishwasher</t>
  </si>
  <si>
    <t xml:space="preserve">Driver(s)</t>
  </si>
  <si>
    <t xml:space="preserve">Overtime Premium</t>
  </si>
  <si>
    <t xml:space="preserve">TOTAL LABOR COST</t>
  </si>
  <si>
    <t xml:space="preserve">SECTION 3: OVERHEAD &amp; OTHER DIRECT COSTS</t>
  </si>
  <si>
    <t xml:space="preserve">Transportation / Mileage</t>
  </si>
  <si>
    <t xml:space="preserve">Equipment Rental</t>
  </si>
  <si>
    <t xml:space="preserve">Linen / Decor Rental</t>
  </si>
  <si>
    <t xml:space="preserve">Fuel / Propane</t>
  </si>
  <si>
    <t xml:space="preserve">Parking / Tolls</t>
  </si>
  <si>
    <t xml:space="preserve">Permits / Insurance (per event)</t>
  </si>
  <si>
    <t xml:space="preserve">Packaging / To-Go Containers</t>
  </si>
  <si>
    <t xml:space="preserve">Ice</t>
  </si>
  <si>
    <t xml:space="preserve">Miscellaneous / Buffer</t>
  </si>
  <si>
    <t xml:space="preserve">TOTAL OVERHEAD / OTHER</t>
  </si>
  <si>
    <t xml:space="preserve">PRICING SUMMARY &amp; PROFIT ANALYSIS</t>
  </si>
  <si>
    <t xml:space="preserve">Total Food Cost</t>
  </si>
  <si>
    <t xml:space="preserve">Total Labor Cost</t>
  </si>
  <si>
    <t xml:space="preserve">Total Overhead / Other</t>
  </si>
  <si>
    <t xml:space="preserve">TOTAL EVENT COST (Break-Even)</t>
  </si>
  <si>
    <t xml:space="preserve">Target Profit Margin (%)</t>
  </si>
  <si>
    <t xml:space="preserve">Target Profit ($)</t>
  </si>
  <si>
    <t xml:space="preserve">MINIMUM QUOTE PRICE</t>
  </si>
  <si>
    <t xml:space="preserve">Price Per Person</t>
  </si>
  <si>
    <t xml:space="preserve">YOUR ACTUAL QUOTE</t>
  </si>
  <si>
    <t xml:space="preserve">Actual Profit ($)</t>
  </si>
  <si>
    <t xml:space="preserve">Actual Profit Margin (%)</t>
  </si>
  <si>
    <t xml:space="preserve">Actual Price Per Person</t>
  </si>
  <si>
    <t xml:space="preserve">Food Cost % of Revenue</t>
  </si>
  <si>
    <t xml:space="preserve">Labor Cost % of Revenue</t>
  </si>
  <si>
    <t xml:space="preserve">Overhead % of Revenue</t>
  </si>
  <si>
    <t xml:space="preserve">Want a pricing strategy custom-built for your market, concept, and margins? Book a 90-Day Profit Playbook at trecoleman.com/playbook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</si>
</sst>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mm/dd/yyyy"/>
    <numFmt numFmtId="167" formatCode="\$#,##0.00"/>
    <numFmt numFmtId="168" formatCode="0%"/>
    <numFmt numFmtId="169" formatCode="0.0"/>
    <numFmt numFmtId="170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i val="true"/>
      <sz val="10"/>
      <color rgb="FFE9456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3460"/>
        <bgColor rgb="FF1A1A2E"/>
      </patternFill>
    </fill>
    <fill>
      <patternFill patternType="solid">
        <fgColor rgb="FFF5F5F5"/>
        <bgColor rgb="FFE8F5E9"/>
      </patternFill>
    </fill>
    <fill>
      <patternFill patternType="solid">
        <fgColor rgb="FFE0E0E0"/>
        <bgColor rgb="FFE3F2FD"/>
      </patternFill>
    </fill>
    <fill>
      <patternFill patternType="solid">
        <fgColor rgb="FFFFF3E0"/>
        <bgColor rgb="FFFFEBEE"/>
      </patternFill>
    </fill>
    <fill>
      <patternFill patternType="solid">
        <fgColor rgb="FFE94560"/>
        <bgColor rgb="FF993366"/>
      </patternFill>
    </fill>
    <fill>
      <patternFill patternType="solid">
        <fgColor rgb="FFFFEBEE"/>
        <bgColor rgb="FFFFF3E0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E0"/>
      <rgbColor rgb="FFE3F2FD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H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4"/>
    <col collapsed="false" customWidth="true" hidden="false" outlineLevel="0" max="5" min="4" style="1" width="18"/>
    <col collapsed="false" customWidth="true" hidden="false" outlineLevel="0" max="7" min="6" style="1" width="16"/>
    <col collapsed="false" customWidth="true" hidden="false" outlineLevel="0" max="8" min="8" style="1" width="2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6" customFormat="false" ht="15" hidden="false" customHeight="true" outlineLevel="0" collapsed="false">
      <c r="A6" s="6" t="s">
        <v>4</v>
      </c>
      <c r="B6" s="7"/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6" t="s">
        <v>5</v>
      </c>
      <c r="B7" s="7" t="s">
        <v>6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6" t="s">
        <v>7</v>
      </c>
      <c r="B8" s="9" t="n">
        <v>100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6" t="s">
        <v>8</v>
      </c>
      <c r="B9" s="7" t="s">
        <v>9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6" t="s">
        <v>10</v>
      </c>
      <c r="B10" s="10"/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6" t="s">
        <v>11</v>
      </c>
      <c r="B11" s="7"/>
      <c r="C11" s="8"/>
      <c r="D11" s="8"/>
      <c r="E11" s="8"/>
      <c r="F11" s="8"/>
      <c r="G11" s="8"/>
      <c r="H11" s="8"/>
    </row>
    <row r="13" customFormat="false" ht="15" hidden="false" customHeight="true" outlineLevel="0" collapsed="false">
      <c r="A13" s="5" t="s">
        <v>12</v>
      </c>
      <c r="B13" s="5"/>
      <c r="C13" s="5"/>
      <c r="D13" s="5"/>
      <c r="E13" s="5"/>
      <c r="F13" s="5"/>
      <c r="G13" s="5"/>
      <c r="H13" s="5"/>
    </row>
    <row r="14" customFormat="false" ht="15" hidden="false" customHeight="true" outlineLevel="0" collapsed="false">
      <c r="A14" s="11" t="s">
        <v>13</v>
      </c>
      <c r="B14" s="11"/>
      <c r="C14" s="11"/>
      <c r="D14" s="11" t="s">
        <v>14</v>
      </c>
      <c r="E14" s="11" t="s">
        <v>7</v>
      </c>
      <c r="F14" s="11" t="s">
        <v>15</v>
      </c>
      <c r="G14" s="11"/>
      <c r="H14" s="11" t="s">
        <v>16</v>
      </c>
    </row>
    <row r="15" customFormat="false" ht="15" hidden="false" customHeight="true" outlineLevel="0" collapsed="false">
      <c r="A15" s="12" t="s">
        <v>17</v>
      </c>
      <c r="B15" s="12"/>
      <c r="C15" s="12"/>
      <c r="D15" s="13" t="n">
        <v>3.5</v>
      </c>
      <c r="E15" s="14" t="n">
        <f aca="false">$B$8</f>
        <v>100</v>
      </c>
      <c r="F15" s="15" t="n">
        <f aca="false">D15*E15</f>
        <v>350</v>
      </c>
      <c r="G15" s="12"/>
      <c r="H15" s="12"/>
    </row>
    <row r="16" customFormat="false" ht="15" hidden="false" customHeight="true" outlineLevel="0" collapsed="false">
      <c r="A16" s="8" t="s">
        <v>18</v>
      </c>
      <c r="B16" s="8"/>
      <c r="C16" s="8"/>
      <c r="D16" s="16" t="n">
        <v>2</v>
      </c>
      <c r="E16" s="17" t="n">
        <f aca="false">$B$8</f>
        <v>100</v>
      </c>
      <c r="F16" s="18" t="n">
        <f aca="false">D16*E16</f>
        <v>200</v>
      </c>
      <c r="G16" s="8"/>
      <c r="H16" s="8"/>
    </row>
    <row r="17" customFormat="false" ht="15" hidden="false" customHeight="true" outlineLevel="0" collapsed="false">
      <c r="A17" s="12" t="s">
        <v>19</v>
      </c>
      <c r="B17" s="12"/>
      <c r="C17" s="12"/>
      <c r="D17" s="13" t="n">
        <v>6.5</v>
      </c>
      <c r="E17" s="14" t="n">
        <f aca="false">$B$8</f>
        <v>100</v>
      </c>
      <c r="F17" s="15" t="n">
        <f aca="false">D17*E17</f>
        <v>650</v>
      </c>
      <c r="G17" s="12"/>
      <c r="H17" s="12"/>
    </row>
    <row r="18" customFormat="false" ht="15" hidden="false" customHeight="true" outlineLevel="0" collapsed="false">
      <c r="A18" s="8" t="s">
        <v>20</v>
      </c>
      <c r="B18" s="8"/>
      <c r="C18" s="8"/>
      <c r="D18" s="16" t="n">
        <v>3</v>
      </c>
      <c r="E18" s="17" t="n">
        <f aca="false">$B$8</f>
        <v>100</v>
      </c>
      <c r="F18" s="18" t="n">
        <f aca="false">D18*E18</f>
        <v>300</v>
      </c>
      <c r="G18" s="8"/>
      <c r="H18" s="8"/>
    </row>
    <row r="19" customFormat="false" ht="15" hidden="false" customHeight="true" outlineLevel="0" collapsed="false">
      <c r="A19" s="12" t="s">
        <v>21</v>
      </c>
      <c r="B19" s="12"/>
      <c r="C19" s="12"/>
      <c r="D19" s="13" t="n">
        <v>0.75</v>
      </c>
      <c r="E19" s="14" t="n">
        <f aca="false">$B$8</f>
        <v>100</v>
      </c>
      <c r="F19" s="15" t="n">
        <f aca="false">D19*E19</f>
        <v>75</v>
      </c>
      <c r="G19" s="12"/>
      <c r="H19" s="12"/>
    </row>
    <row r="20" customFormat="false" ht="15" hidden="false" customHeight="true" outlineLevel="0" collapsed="false">
      <c r="A20" s="8" t="s">
        <v>22</v>
      </c>
      <c r="B20" s="8"/>
      <c r="C20" s="8"/>
      <c r="D20" s="16" t="n">
        <v>2.5</v>
      </c>
      <c r="E20" s="17" t="n">
        <f aca="false">$B$8</f>
        <v>100</v>
      </c>
      <c r="F20" s="18" t="n">
        <f aca="false">D20*E20</f>
        <v>250</v>
      </c>
      <c r="G20" s="8"/>
      <c r="H20" s="8"/>
    </row>
    <row r="21" customFormat="false" ht="15" hidden="false" customHeight="true" outlineLevel="0" collapsed="false">
      <c r="A21" s="12" t="s">
        <v>23</v>
      </c>
      <c r="B21" s="12"/>
      <c r="C21" s="12"/>
      <c r="D21" s="13" t="n">
        <v>1.5</v>
      </c>
      <c r="E21" s="14" t="n">
        <f aca="false">$B$8</f>
        <v>100</v>
      </c>
      <c r="F21" s="15" t="n">
        <f aca="false">D21*E21</f>
        <v>150</v>
      </c>
      <c r="G21" s="12"/>
      <c r="H21" s="12"/>
    </row>
    <row r="22" customFormat="false" ht="15" hidden="false" customHeight="true" outlineLevel="0" collapsed="false">
      <c r="A22" s="8" t="s">
        <v>24</v>
      </c>
      <c r="B22" s="8"/>
      <c r="C22" s="8"/>
      <c r="D22" s="16" t="n">
        <v>0</v>
      </c>
      <c r="E22" s="17" t="n">
        <f aca="false">$B$8</f>
        <v>100</v>
      </c>
      <c r="F22" s="18" t="n">
        <f aca="false">D22*E22</f>
        <v>0</v>
      </c>
      <c r="G22" s="8"/>
      <c r="H22" s="8"/>
    </row>
    <row r="23" customFormat="false" ht="15" hidden="false" customHeight="true" outlineLevel="0" collapsed="false">
      <c r="A23" s="12" t="s">
        <v>25</v>
      </c>
      <c r="B23" s="12"/>
      <c r="C23" s="12"/>
      <c r="D23" s="13" t="n">
        <v>0.5</v>
      </c>
      <c r="E23" s="14" t="n">
        <f aca="false">$B$8</f>
        <v>100</v>
      </c>
      <c r="F23" s="15" t="n">
        <f aca="false">D23*E23</f>
        <v>50</v>
      </c>
      <c r="G23" s="12"/>
      <c r="H23" s="12"/>
    </row>
    <row r="24" customFormat="false" ht="15" hidden="false" customHeight="true" outlineLevel="0" collapsed="false">
      <c r="A24" s="8" t="s">
        <v>26</v>
      </c>
      <c r="B24" s="8"/>
      <c r="C24" s="8"/>
      <c r="D24" s="16" t="n">
        <v>1.25</v>
      </c>
      <c r="E24" s="17" t="n">
        <f aca="false">$B$8</f>
        <v>100</v>
      </c>
      <c r="F24" s="18" t="n">
        <f aca="false">D24*E24</f>
        <v>125</v>
      </c>
      <c r="G24" s="8"/>
      <c r="H24" s="8"/>
    </row>
    <row r="25" customFormat="false" ht="15" hidden="false" customHeight="true" outlineLevel="0" collapsed="false">
      <c r="A25" s="19" t="s">
        <v>27</v>
      </c>
      <c r="B25" s="19"/>
      <c r="C25" s="19"/>
      <c r="D25" s="20" t="n">
        <v>0.1</v>
      </c>
      <c r="E25" s="21"/>
      <c r="F25" s="22" t="n">
        <f aca="false">SUM(F15:F24)*D25</f>
        <v>215</v>
      </c>
      <c r="G25" s="21"/>
      <c r="H25" s="21"/>
    </row>
    <row r="26" customFormat="false" ht="15" hidden="false" customHeight="true" outlineLevel="0" collapsed="false">
      <c r="A26" s="23" t="s">
        <v>28</v>
      </c>
      <c r="B26" s="23"/>
      <c r="C26" s="23"/>
      <c r="D26" s="24"/>
      <c r="E26" s="24"/>
      <c r="F26" s="25" t="n">
        <f aca="false">SUM(F15:F25)</f>
        <v>2365</v>
      </c>
      <c r="G26" s="24"/>
      <c r="H26" s="24"/>
    </row>
    <row r="28" customFormat="false" ht="15" hidden="false" customHeight="true" outlineLevel="0" collapsed="false">
      <c r="A28" s="5" t="s">
        <v>29</v>
      </c>
      <c r="B28" s="5"/>
      <c r="C28" s="5"/>
      <c r="D28" s="5"/>
      <c r="E28" s="5"/>
      <c r="F28" s="5"/>
      <c r="G28" s="5"/>
      <c r="H28" s="5"/>
    </row>
    <row r="29" customFormat="false" ht="15" hidden="false" customHeight="true" outlineLevel="0" collapsed="false">
      <c r="A29" s="11" t="s">
        <v>30</v>
      </c>
      <c r="B29" s="11"/>
      <c r="C29" s="11" t="s">
        <v>31</v>
      </c>
      <c r="D29" s="11" t="s">
        <v>32</v>
      </c>
      <c r="E29" s="11" t="s">
        <v>33</v>
      </c>
      <c r="F29" s="11" t="s">
        <v>15</v>
      </c>
      <c r="G29" s="11"/>
      <c r="H29" s="11"/>
    </row>
    <row r="30" customFormat="false" ht="15" hidden="false" customHeight="true" outlineLevel="0" collapsed="false">
      <c r="A30" s="12" t="s">
        <v>34</v>
      </c>
      <c r="B30" s="12"/>
      <c r="C30" s="26" t="n">
        <v>1</v>
      </c>
      <c r="D30" s="13" t="n">
        <v>28</v>
      </c>
      <c r="E30" s="27" t="n">
        <v>8.5</v>
      </c>
      <c r="F30" s="15" t="n">
        <f aca="false">C30*D30*E30</f>
        <v>238</v>
      </c>
      <c r="G30" s="12"/>
      <c r="H30" s="12"/>
    </row>
    <row r="31" customFormat="false" ht="15" hidden="false" customHeight="true" outlineLevel="0" collapsed="false">
      <c r="A31" s="8" t="s">
        <v>35</v>
      </c>
      <c r="B31" s="8"/>
      <c r="C31" s="28" t="n">
        <v>2</v>
      </c>
      <c r="D31" s="16" t="n">
        <v>18</v>
      </c>
      <c r="E31" s="29" t="n">
        <v>8.5</v>
      </c>
      <c r="F31" s="18" t="n">
        <f aca="false">C31*D31*E31</f>
        <v>306</v>
      </c>
      <c r="G31" s="8"/>
      <c r="H31" s="8"/>
    </row>
    <row r="32" customFormat="false" ht="15" hidden="false" customHeight="true" outlineLevel="0" collapsed="false">
      <c r="A32" s="12" t="s">
        <v>36</v>
      </c>
      <c r="B32" s="12"/>
      <c r="C32" s="26" t="n">
        <v>1</v>
      </c>
      <c r="D32" s="13" t="n">
        <v>15</v>
      </c>
      <c r="E32" s="27" t="n">
        <v>8.5</v>
      </c>
      <c r="F32" s="15" t="n">
        <f aca="false">C32*D32*E32</f>
        <v>127.5</v>
      </c>
      <c r="G32" s="12"/>
      <c r="H32" s="12"/>
    </row>
    <row r="33" customFormat="false" ht="15" hidden="false" customHeight="true" outlineLevel="0" collapsed="false">
      <c r="A33" s="8" t="s">
        <v>37</v>
      </c>
      <c r="B33" s="8"/>
      <c r="C33" s="28" t="n">
        <v>4</v>
      </c>
      <c r="D33" s="16" t="n">
        <v>16</v>
      </c>
      <c r="E33" s="29" t="n">
        <v>8.5</v>
      </c>
      <c r="F33" s="18" t="n">
        <f aca="false">C33*D33*E33</f>
        <v>544</v>
      </c>
      <c r="G33" s="8"/>
      <c r="H33" s="8"/>
    </row>
    <row r="34" customFormat="false" ht="15" hidden="false" customHeight="true" outlineLevel="0" collapsed="false">
      <c r="A34" s="12" t="s">
        <v>38</v>
      </c>
      <c r="B34" s="12"/>
      <c r="C34" s="26" t="n">
        <v>1</v>
      </c>
      <c r="D34" s="13" t="n">
        <v>20</v>
      </c>
      <c r="E34" s="27" t="n">
        <v>8.5</v>
      </c>
      <c r="F34" s="15" t="n">
        <f aca="false">C34*D34*E34</f>
        <v>170</v>
      </c>
      <c r="G34" s="12"/>
      <c r="H34" s="12"/>
    </row>
    <row r="35" customFormat="false" ht="15" hidden="false" customHeight="true" outlineLevel="0" collapsed="false">
      <c r="A35" s="8" t="s">
        <v>39</v>
      </c>
      <c r="B35" s="8"/>
      <c r="C35" s="28" t="n">
        <v>1</v>
      </c>
      <c r="D35" s="16" t="n">
        <v>22</v>
      </c>
      <c r="E35" s="29" t="n">
        <v>8.5</v>
      </c>
      <c r="F35" s="18" t="n">
        <f aca="false">C35*D35*E35</f>
        <v>187</v>
      </c>
      <c r="G35" s="8"/>
      <c r="H35" s="8"/>
    </row>
    <row r="36" customFormat="false" ht="15" hidden="false" customHeight="true" outlineLevel="0" collapsed="false">
      <c r="A36" s="12" t="s">
        <v>40</v>
      </c>
      <c r="B36" s="12"/>
      <c r="C36" s="26" t="n">
        <v>1</v>
      </c>
      <c r="D36" s="13" t="n">
        <v>14</v>
      </c>
      <c r="E36" s="27" t="n">
        <v>8.5</v>
      </c>
      <c r="F36" s="15" t="n">
        <f aca="false">C36*D36*E36</f>
        <v>119</v>
      </c>
      <c r="G36" s="12"/>
      <c r="H36" s="12"/>
    </row>
    <row r="37" customFormat="false" ht="15" hidden="false" customHeight="true" outlineLevel="0" collapsed="false">
      <c r="A37" s="8" t="s">
        <v>41</v>
      </c>
      <c r="B37" s="8"/>
      <c r="C37" s="28" t="n">
        <v>1</v>
      </c>
      <c r="D37" s="16" t="n">
        <v>17</v>
      </c>
      <c r="E37" s="29" t="n">
        <v>4</v>
      </c>
      <c r="F37" s="18" t="n">
        <f aca="false">C37*D37*E37</f>
        <v>68</v>
      </c>
      <c r="G37" s="8"/>
      <c r="H37" s="8"/>
    </row>
    <row r="38" customFormat="false" ht="15" hidden="false" customHeight="true" outlineLevel="0" collapsed="false">
      <c r="A38" s="19" t="s">
        <v>42</v>
      </c>
      <c r="B38" s="19"/>
      <c r="C38" s="21"/>
      <c r="D38" s="21"/>
      <c r="E38" s="21"/>
      <c r="F38" s="30" t="n">
        <v>0</v>
      </c>
      <c r="G38" s="21"/>
      <c r="H38" s="21"/>
    </row>
    <row r="39" customFormat="false" ht="15" hidden="false" customHeight="true" outlineLevel="0" collapsed="false">
      <c r="A39" s="23" t="s">
        <v>43</v>
      </c>
      <c r="B39" s="23"/>
      <c r="C39" s="24"/>
      <c r="D39" s="24"/>
      <c r="E39" s="24"/>
      <c r="F39" s="25" t="n">
        <f aca="false">SUM(F30:F38)</f>
        <v>1759.5</v>
      </c>
      <c r="G39" s="24"/>
      <c r="H39" s="24"/>
    </row>
    <row r="41" customFormat="false" ht="15" hidden="false" customHeight="true" outlineLevel="0" collapsed="false">
      <c r="A41" s="5" t="s">
        <v>44</v>
      </c>
      <c r="B41" s="5"/>
      <c r="C41" s="5"/>
      <c r="D41" s="5"/>
      <c r="E41" s="5"/>
      <c r="F41" s="5"/>
      <c r="G41" s="5"/>
      <c r="H41" s="5"/>
    </row>
    <row r="42" customFormat="false" ht="15" hidden="false" customHeight="true" outlineLevel="0" collapsed="false">
      <c r="A42" s="12" t="s">
        <v>45</v>
      </c>
      <c r="B42" s="12"/>
      <c r="C42" s="12"/>
      <c r="D42" s="13" t="n">
        <v>75</v>
      </c>
      <c r="E42" s="12"/>
      <c r="F42" s="12"/>
      <c r="G42" s="12"/>
      <c r="H42" s="12"/>
    </row>
    <row r="43" customFormat="false" ht="15" hidden="false" customHeight="true" outlineLevel="0" collapsed="false">
      <c r="A43" s="8" t="s">
        <v>46</v>
      </c>
      <c r="B43" s="8"/>
      <c r="C43" s="8"/>
      <c r="D43" s="16" t="n">
        <v>150</v>
      </c>
      <c r="E43" s="8"/>
      <c r="F43" s="8"/>
      <c r="G43" s="8"/>
      <c r="H43" s="8"/>
    </row>
    <row r="44" customFormat="false" ht="15" hidden="false" customHeight="true" outlineLevel="0" collapsed="false">
      <c r="A44" s="12" t="s">
        <v>47</v>
      </c>
      <c r="B44" s="12"/>
      <c r="C44" s="12"/>
      <c r="D44" s="13" t="n">
        <v>0</v>
      </c>
      <c r="E44" s="12"/>
      <c r="F44" s="12"/>
      <c r="G44" s="12"/>
      <c r="H44" s="12"/>
    </row>
    <row r="45" customFormat="false" ht="15" hidden="false" customHeight="true" outlineLevel="0" collapsed="false">
      <c r="A45" s="8" t="s">
        <v>48</v>
      </c>
      <c r="B45" s="8"/>
      <c r="C45" s="8"/>
      <c r="D45" s="16" t="n">
        <v>25</v>
      </c>
      <c r="E45" s="8"/>
      <c r="F45" s="8"/>
      <c r="G45" s="8"/>
      <c r="H45" s="8"/>
    </row>
    <row r="46" customFormat="false" ht="15" hidden="false" customHeight="true" outlineLevel="0" collapsed="false">
      <c r="A46" s="12" t="s">
        <v>49</v>
      </c>
      <c r="B46" s="12"/>
      <c r="C46" s="12"/>
      <c r="D46" s="13" t="n">
        <v>15</v>
      </c>
      <c r="E46" s="12"/>
      <c r="F46" s="12"/>
      <c r="G46" s="12"/>
      <c r="H46" s="12"/>
    </row>
    <row r="47" customFormat="false" ht="15" hidden="false" customHeight="true" outlineLevel="0" collapsed="false">
      <c r="A47" s="8" t="s">
        <v>50</v>
      </c>
      <c r="B47" s="8"/>
      <c r="C47" s="8"/>
      <c r="D47" s="16" t="n">
        <v>0</v>
      </c>
      <c r="E47" s="8"/>
      <c r="F47" s="8"/>
      <c r="G47" s="8"/>
      <c r="H47" s="8"/>
    </row>
    <row r="48" customFormat="false" ht="15" hidden="false" customHeight="true" outlineLevel="0" collapsed="false">
      <c r="A48" s="12" t="s">
        <v>51</v>
      </c>
      <c r="B48" s="12"/>
      <c r="C48" s="12"/>
      <c r="D48" s="13" t="n">
        <v>50</v>
      </c>
      <c r="E48" s="12"/>
      <c r="F48" s="12"/>
      <c r="G48" s="12"/>
      <c r="H48" s="12"/>
    </row>
    <row r="49" customFormat="false" ht="15" hidden="false" customHeight="true" outlineLevel="0" collapsed="false">
      <c r="A49" s="8" t="s">
        <v>52</v>
      </c>
      <c r="B49" s="8"/>
      <c r="C49" s="8"/>
      <c r="D49" s="16" t="n">
        <v>20</v>
      </c>
      <c r="E49" s="8"/>
      <c r="F49" s="8"/>
      <c r="G49" s="8"/>
      <c r="H49" s="8"/>
    </row>
    <row r="50" customFormat="false" ht="15" hidden="false" customHeight="true" outlineLevel="0" collapsed="false">
      <c r="A50" s="12" t="s">
        <v>53</v>
      </c>
      <c r="B50" s="12"/>
      <c r="C50" s="12"/>
      <c r="D50" s="13" t="n">
        <v>50</v>
      </c>
      <c r="E50" s="12"/>
      <c r="F50" s="12"/>
      <c r="G50" s="12"/>
      <c r="H50" s="12"/>
    </row>
    <row r="51" customFormat="false" ht="15" hidden="false" customHeight="true" outlineLevel="0" collapsed="false">
      <c r="A51" s="23" t="s">
        <v>54</v>
      </c>
      <c r="B51" s="23"/>
      <c r="C51" s="23"/>
      <c r="D51" s="25" t="n">
        <f aca="false">SUM(D42:D50)</f>
        <v>385</v>
      </c>
      <c r="E51" s="24"/>
      <c r="F51" s="24"/>
      <c r="G51" s="24"/>
      <c r="H51" s="24"/>
    </row>
    <row r="53" customFormat="false" ht="15" hidden="false" customHeight="true" outlineLevel="0" collapsed="false">
      <c r="A53" s="5" t="s">
        <v>55</v>
      </c>
      <c r="B53" s="5"/>
      <c r="C53" s="5"/>
      <c r="D53" s="5"/>
      <c r="E53" s="5"/>
      <c r="F53" s="5"/>
      <c r="G53" s="5"/>
      <c r="H53" s="5"/>
    </row>
    <row r="54" customFormat="false" ht="15" hidden="false" customHeight="true" outlineLevel="0" collapsed="false">
      <c r="A54" s="31" t="s">
        <v>56</v>
      </c>
      <c r="B54" s="31"/>
      <c r="C54" s="31"/>
      <c r="D54" s="18" t="n">
        <f aca="false">F26</f>
        <v>2365</v>
      </c>
      <c r="E54" s="8"/>
      <c r="F54" s="8"/>
      <c r="G54" s="8"/>
      <c r="H54" s="8"/>
    </row>
    <row r="55" customFormat="false" ht="15" hidden="false" customHeight="true" outlineLevel="0" collapsed="false">
      <c r="A55" s="6" t="s">
        <v>57</v>
      </c>
      <c r="B55" s="6"/>
      <c r="C55" s="6"/>
      <c r="D55" s="18" t="n">
        <f aca="false">F39</f>
        <v>1759.5</v>
      </c>
      <c r="E55" s="12"/>
      <c r="F55" s="12"/>
      <c r="G55" s="12"/>
      <c r="H55" s="12"/>
    </row>
    <row r="56" customFormat="false" ht="15" hidden="false" customHeight="true" outlineLevel="0" collapsed="false">
      <c r="A56" s="31" t="s">
        <v>58</v>
      </c>
      <c r="B56" s="31"/>
      <c r="C56" s="31"/>
      <c r="D56" s="18" t="n">
        <f aca="false">D51</f>
        <v>385</v>
      </c>
      <c r="E56" s="8"/>
      <c r="F56" s="8"/>
      <c r="G56" s="8"/>
      <c r="H56" s="8"/>
    </row>
    <row r="57" customFormat="false" ht="15" hidden="false" customHeight="true" outlineLevel="0" collapsed="false">
      <c r="A57" s="6"/>
      <c r="B57" s="6"/>
      <c r="C57" s="6"/>
      <c r="D57" s="32"/>
      <c r="E57" s="12"/>
      <c r="F57" s="12"/>
      <c r="G57" s="12"/>
      <c r="H57" s="12"/>
    </row>
    <row r="58" customFormat="false" ht="15" hidden="false" customHeight="true" outlineLevel="0" collapsed="false">
      <c r="A58" s="33" t="s">
        <v>59</v>
      </c>
      <c r="B58" s="33"/>
      <c r="C58" s="33"/>
      <c r="D58" s="34" t="n">
        <f aca="false">D54+D55+D56</f>
        <v>4509.5</v>
      </c>
      <c r="E58" s="35"/>
      <c r="F58" s="35"/>
      <c r="G58" s="35"/>
      <c r="H58" s="35"/>
    </row>
    <row r="59" customFormat="false" ht="15" hidden="false" customHeight="true" outlineLevel="0" collapsed="false">
      <c r="A59" s="6"/>
      <c r="B59" s="6"/>
      <c r="C59" s="6"/>
      <c r="D59" s="32"/>
      <c r="E59" s="12"/>
      <c r="F59" s="12"/>
      <c r="G59" s="12"/>
      <c r="H59" s="12"/>
    </row>
    <row r="60" customFormat="false" ht="15" hidden="false" customHeight="true" outlineLevel="0" collapsed="false">
      <c r="A60" s="19" t="s">
        <v>60</v>
      </c>
      <c r="B60" s="19"/>
      <c r="C60" s="19"/>
      <c r="D60" s="20" t="n">
        <v>0.2</v>
      </c>
      <c r="E60" s="21"/>
      <c r="F60" s="21"/>
      <c r="G60" s="21"/>
      <c r="H60" s="21"/>
    </row>
    <row r="61" customFormat="false" ht="15" hidden="false" customHeight="true" outlineLevel="0" collapsed="false">
      <c r="A61" s="19" t="s">
        <v>61</v>
      </c>
      <c r="B61" s="19"/>
      <c r="C61" s="19"/>
      <c r="D61" s="22" t="n">
        <f aca="false">D58*D60</f>
        <v>901.9</v>
      </c>
      <c r="E61" s="21"/>
      <c r="F61" s="21"/>
      <c r="G61" s="21"/>
      <c r="H61" s="21"/>
    </row>
    <row r="62" customFormat="false" ht="15" hidden="false" customHeight="true" outlineLevel="0" collapsed="false">
      <c r="A62" s="31"/>
      <c r="B62" s="31"/>
      <c r="C62" s="31"/>
      <c r="D62" s="32"/>
      <c r="E62" s="8"/>
      <c r="F62" s="8"/>
      <c r="G62" s="8"/>
      <c r="H62" s="8"/>
    </row>
    <row r="63" customFormat="false" ht="15" hidden="false" customHeight="true" outlineLevel="0" collapsed="false">
      <c r="A63" s="36" t="s">
        <v>62</v>
      </c>
      <c r="B63" s="36"/>
      <c r="C63" s="36"/>
      <c r="D63" s="37" t="n">
        <f aca="false">D58+D61</f>
        <v>5411.4</v>
      </c>
      <c r="E63" s="38"/>
      <c r="F63" s="38"/>
      <c r="G63" s="38"/>
      <c r="H63" s="38"/>
    </row>
    <row r="64" customFormat="false" ht="15" hidden="false" customHeight="true" outlineLevel="0" collapsed="false">
      <c r="A64" s="39" t="s">
        <v>63</v>
      </c>
      <c r="B64" s="39"/>
      <c r="C64" s="39"/>
      <c r="D64" s="37" t="n">
        <f aca="false">IF(B8&gt;0,D63/B8,0)</f>
        <v>54.114</v>
      </c>
      <c r="E64" s="38"/>
      <c r="F64" s="38"/>
      <c r="G64" s="38"/>
      <c r="H64" s="38"/>
    </row>
    <row r="65" customFormat="false" ht="15" hidden="false" customHeight="true" outlineLevel="0" collapsed="false">
      <c r="A65" s="6"/>
      <c r="B65" s="6"/>
      <c r="C65" s="6"/>
      <c r="D65" s="32"/>
      <c r="E65" s="12"/>
      <c r="F65" s="12"/>
      <c r="G65" s="12"/>
      <c r="H65" s="12"/>
    </row>
    <row r="66" customFormat="false" ht="15" hidden="false" customHeight="true" outlineLevel="0" collapsed="false">
      <c r="A66" s="40" t="s">
        <v>64</v>
      </c>
      <c r="B66" s="40"/>
      <c r="C66" s="40"/>
      <c r="D66" s="41" t="n">
        <v>5000</v>
      </c>
      <c r="E66" s="42"/>
      <c r="F66" s="42"/>
      <c r="G66" s="42"/>
      <c r="H66" s="42"/>
    </row>
    <row r="67" customFormat="false" ht="15" hidden="false" customHeight="true" outlineLevel="0" collapsed="false">
      <c r="A67" s="43" t="s">
        <v>65</v>
      </c>
      <c r="B67" s="43"/>
      <c r="C67" s="43"/>
      <c r="D67" s="44" t="n">
        <f aca="false">D66-D58</f>
        <v>490.5</v>
      </c>
      <c r="E67" s="42"/>
      <c r="F67" s="42"/>
      <c r="G67" s="42"/>
      <c r="H67" s="42"/>
    </row>
    <row r="68" customFormat="false" ht="15" hidden="false" customHeight="true" outlineLevel="0" collapsed="false">
      <c r="A68" s="40" t="s">
        <v>66</v>
      </c>
      <c r="B68" s="40"/>
      <c r="C68" s="40"/>
      <c r="D68" s="45" t="n">
        <f aca="false">IF(D66&gt;0,D67/D66,0)</f>
        <v>0.0981</v>
      </c>
      <c r="E68" s="42"/>
      <c r="F68" s="42"/>
      <c r="G68" s="42"/>
      <c r="H68" s="42"/>
    </row>
    <row r="69" customFormat="false" ht="15" hidden="false" customHeight="true" outlineLevel="0" collapsed="false">
      <c r="A69" s="40" t="s">
        <v>67</v>
      </c>
      <c r="B69" s="40"/>
      <c r="C69" s="40"/>
      <c r="D69" s="44" t="n">
        <f aca="false">IF(B8&gt;0,D66/B8,0)</f>
        <v>50</v>
      </c>
      <c r="E69" s="42"/>
      <c r="F69" s="42"/>
      <c r="G69" s="42"/>
      <c r="H69" s="42"/>
    </row>
    <row r="70" customFormat="false" ht="15" hidden="false" customHeight="true" outlineLevel="0" collapsed="false">
      <c r="A70" s="31"/>
      <c r="B70" s="31"/>
      <c r="C70" s="31"/>
      <c r="D70" s="32"/>
      <c r="E70" s="8"/>
      <c r="F70" s="8"/>
      <c r="G70" s="8"/>
      <c r="H70" s="8"/>
    </row>
    <row r="71" customFormat="false" ht="15" hidden="false" customHeight="true" outlineLevel="0" collapsed="false">
      <c r="A71" s="6" t="s">
        <v>68</v>
      </c>
      <c r="B71" s="6"/>
      <c r="C71" s="6"/>
      <c r="D71" s="46" t="n">
        <f aca="false">IF(D66&gt;0,D54/D66,0)</f>
        <v>0.473</v>
      </c>
      <c r="E71" s="12"/>
      <c r="F71" s="12"/>
      <c r="G71" s="12"/>
      <c r="H71" s="12"/>
    </row>
    <row r="72" customFormat="false" ht="15" hidden="false" customHeight="true" outlineLevel="0" collapsed="false">
      <c r="A72" s="31" t="s">
        <v>69</v>
      </c>
      <c r="B72" s="31"/>
      <c r="C72" s="31"/>
      <c r="D72" s="46" t="n">
        <f aca="false">IF(D66&gt;0,D55/D66,0)</f>
        <v>0.3519</v>
      </c>
      <c r="E72" s="8"/>
      <c r="F72" s="8"/>
      <c r="G72" s="8"/>
      <c r="H72" s="8"/>
    </row>
    <row r="73" customFormat="false" ht="15" hidden="false" customHeight="true" outlineLevel="0" collapsed="false">
      <c r="A73" s="6" t="s">
        <v>70</v>
      </c>
      <c r="B73" s="6"/>
      <c r="C73" s="6"/>
      <c r="D73" s="46" t="n">
        <f aca="false">IF(D66&gt;0,D56/D66,0)</f>
        <v>0.077</v>
      </c>
      <c r="E73" s="12"/>
      <c r="F73" s="12"/>
      <c r="G73" s="12"/>
      <c r="H73" s="12"/>
    </row>
    <row r="76" customFormat="false" ht="15" hidden="false" customHeight="true" outlineLevel="0" collapsed="false">
      <c r="A76" s="47" t="s">
        <v>71</v>
      </c>
      <c r="B76" s="47"/>
      <c r="C76" s="47"/>
      <c r="D76" s="47"/>
      <c r="E76" s="47"/>
      <c r="F76" s="47"/>
      <c r="G76" s="47"/>
      <c r="H76" s="47"/>
    </row>
  </sheetData>
  <mergeCells count="61">
    <mergeCell ref="A1:H1"/>
    <mergeCell ref="A2:H2"/>
    <mergeCell ref="A3:H3"/>
    <mergeCell ref="A5:H5"/>
    <mergeCell ref="A13:H13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8:H28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1:H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3:H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6:H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2026-02-12T17:56:42Z</dcterms:created>
  <dc:creator>openpyxl</dc:creator>
  <dc:description/>
  <dc:language>en-US</dc:language>
  <cp:lastModifiedBy/>
  <dcterms:modified xsi:type="dcterms:W3CDTF">2026-02-12T17:57:36Z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