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rvice Ti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<sst xmlns="http://schemas.openxmlformats.org/spreadsheetml/2006/main" count="142" uniqueCount="99">
  <si>
    <t xml:space="preserve">SERVICE TIER COMPARISON SHEET</t>
  </si>
  <si>
    <t xml:space="preserve">The Catering Profit System  |  Module 2  |  Build good/better/best packages that upsell naturally</t>
  </si>
  <si>
    <t xml:space="preserve">Blue cells = customize for your business  |  Use this as a template to build your actual tier offerings</t>
  </si>
  <si>
    <t xml:space="preserve">TIER OVERVIEW</t>
  </si>
  <si>
    <t xml:space="preserve">BRONZE (Drop-Off)</t>
  </si>
  <si>
    <t xml:space="preserve">SILVER (Buffet)</t>
  </si>
  <si>
    <t xml:space="preserve">GOLD (Full-Service)</t>
  </si>
  <si>
    <t xml:space="preserve">PLATINUM (Plated)</t>
  </si>
  <si>
    <t xml:space="preserve">Tier Name (customize)</t>
  </si>
  <si>
    <t xml:space="preserve">The Essentials</t>
  </si>
  <si>
    <t xml:space="preserve">The Classic</t>
  </si>
  <si>
    <t xml:space="preserve">The Experience</t>
  </si>
  <si>
    <t xml:space="preserve">The Grand</t>
  </si>
  <si>
    <t xml:space="preserve">Service Style</t>
  </si>
  <si>
    <t xml:space="preserve">Drop-off only</t>
  </si>
  <si>
    <t xml:space="preserve">Buffet with staff</t>
  </si>
  <si>
    <t xml:space="preserve">Full-service buffet</t>
  </si>
  <si>
    <t xml:space="preserve">Plated multi-course</t>
  </si>
  <si>
    <t xml:space="preserve">Staff Included</t>
  </si>
  <si>
    <t xml:space="preserve">Driver + setup</t>
  </si>
  <si>
    <t xml:space="preserve">Servers + captain</t>
  </si>
  <si>
    <t xml:space="preserve">Full team + captain</t>
  </si>
  <si>
    <t xml:space="preserve">Full team + captain + bartender</t>
  </si>
  <si>
    <t xml:space="preserve">Setup/Breakdown</t>
  </si>
  <si>
    <t xml:space="preserve">Basic drop-off</t>
  </si>
  <si>
    <t xml:space="preserve">Full setup included</t>
  </si>
  <si>
    <t xml:space="preserve">Full setup + decor</t>
  </si>
  <si>
    <t xml:space="preserve">Full setup + decor + table service</t>
  </si>
  <si>
    <t xml:space="preserve">Menu Complexity</t>
  </si>
  <si>
    <t xml:space="preserve">3-4 items</t>
  </si>
  <si>
    <t xml:space="preserve">5-6 items</t>
  </si>
  <si>
    <t xml:space="preserve">7-8 items + appetizers</t>
  </si>
  <si>
    <t xml:space="preserve">3-4 courses plated</t>
  </si>
  <si>
    <t xml:space="preserve">Minimum Guest Count</t>
  </si>
  <si>
    <t xml:space="preserve">10</t>
  </si>
  <si>
    <t xml:space="preserve">25</t>
  </si>
  <si>
    <t xml:space="preserve">50</t>
  </si>
  <si>
    <t xml:space="preserve">Ideal For</t>
  </si>
  <si>
    <t xml:space="preserve">Corporate lunches, small meetings</t>
  </si>
  <si>
    <t xml:space="preserve">Birthday parties, team events</t>
  </si>
  <si>
    <t xml:space="preserve">Weddings, galas, fundraisers</t>
  </si>
  <si>
    <t xml:space="preserve">Premium weddings, corporate VIP</t>
  </si>
  <si>
    <t xml:space="preserve">PRICING STRUCTURE (PER PERSON)</t>
  </si>
  <si>
    <t xml:space="preserve">Cost Component</t>
  </si>
  <si>
    <t xml:space="preserve">BRONZE</t>
  </si>
  <si>
    <t xml:space="preserve">SILVER</t>
  </si>
  <si>
    <t xml:space="preserve">GOLD</t>
  </si>
  <si>
    <t xml:space="preserve">PLATINUM</t>
  </si>
  <si>
    <t xml:space="preserve">Food Cost / Person</t>
  </si>
  <si>
    <t xml:space="preserve">Labor Cost / Person</t>
  </si>
  <si>
    <t xml:space="preserve">Overhead / Person</t>
  </si>
  <si>
    <t xml:space="preserve">Total Cost / Person</t>
  </si>
  <si>
    <t xml:space="preserve">Target Profit Margin</t>
  </si>
  <si>
    <t xml:space="preserve">YOUR PRICE / PERSON</t>
  </si>
  <si>
    <t xml:space="preserve">Revenue at 50 Guests</t>
  </si>
  <si>
    <t xml:space="preserve">Profit at 50 Guests</t>
  </si>
  <si>
    <t xml:space="preserve">Revenue at 100 Guests</t>
  </si>
  <si>
    <t xml:space="preserve">Profit at 100 Guests</t>
  </si>
  <si>
    <t xml:space="preserve">WHAT’S INCLUDED (CLIENT-FACING)</t>
  </si>
  <si>
    <t xml:space="preserve">Feature</t>
  </si>
  <si>
    <t xml:space="preserve">Menu Consultation</t>
  </si>
  <si>
    <t xml:space="preserve">✗</t>
  </si>
  <si>
    <t xml:space="preserve">✓</t>
  </si>
  <si>
    <t xml:space="preserve">Custom Menu Design</t>
  </si>
  <si>
    <t xml:space="preserve">Tasting Session</t>
  </si>
  <si>
    <t xml:space="preserve">Setup &amp; Presentation</t>
  </si>
  <si>
    <t xml:space="preserve">Basic</t>
  </si>
  <si>
    <t xml:space="preserve">Standard</t>
  </si>
  <si>
    <t xml:space="preserve">Premium</t>
  </si>
  <si>
    <t xml:space="preserve">Custom/Themed</t>
  </si>
  <si>
    <t xml:space="preserve">Serving Staff</t>
  </si>
  <si>
    <t xml:space="preserve">Event Captain</t>
  </si>
  <si>
    <t xml:space="preserve">Bartender Service</t>
  </si>
  <si>
    <t xml:space="preserve">Add-on</t>
  </si>
  <si>
    <t xml:space="preserve">China / Glassware</t>
  </si>
  <si>
    <t xml:space="preserve">Linen / Decor</t>
  </si>
  <si>
    <t xml:space="preserve">Full Breakdown &amp; Cleanup</t>
  </si>
  <si>
    <t xml:space="preserve">Post-Event Follow-Up</t>
  </si>
  <si>
    <t xml:space="preserve">Email</t>
  </si>
  <si>
    <t xml:space="preserve">Call + Email</t>
  </si>
  <si>
    <t xml:space="preserve">Call + Gift</t>
  </si>
  <si>
    <t xml:space="preserve">Leftovers Packaged</t>
  </si>
  <si>
    <t xml:space="preserve">UPSELL TRIGGERS (YOUR REFERENCE — NOT CLIENT-FACING)</t>
  </si>
  <si>
    <t xml:space="preserve">Upsell Path</t>
  </si>
  <si>
    <t xml:space="preserve">Script / Language</t>
  </si>
  <si>
    <t xml:space="preserve">Notes</t>
  </si>
  <si>
    <t xml:space="preserve">Bronze → Silver</t>
  </si>
  <si>
    <t xml:space="preserve">"Want us to handle the setup and serving so you can enjoy the event?"</t>
  </si>
  <si>
    <t xml:space="preserve">Most common upsell. Drop-off clients often upgrade once they realize setup is work.</t>
  </si>
  <si>
    <t xml:space="preserve">Silver → Gold</t>
  </si>
  <si>
    <t xml:space="preserve">"We can add an event captain to coordinate everything so you don’t have to."</t>
  </si>
  <si>
    <t xml:space="preserve">The event captain is the key differentiator. Emphasize stress-free experience.</t>
  </si>
  <si>
    <t xml:space="preserve">Gold → Platinum</t>
  </si>
  <si>
    <t xml:space="preserve">"For a truly premium experience, we can do plated service with a tasting session."</t>
  </si>
  <si>
    <t xml:space="preserve">Save for weddings and corporate VIP. Don’t push this on casual events.</t>
  </si>
  <si>
    <t xml:space="preserve">Any Tier + Bar</t>
  </si>
  <si>
    <t xml:space="preserve">"Want to add bar service? We handle everything from setup to last call."</t>
  </si>
  <si>
    <t xml:space="preserve">High-margin add-on. Always offer regardless of tier.</t>
  </si>
  <si>
    <t xml:space="preserve">Want custom service tiers built for your specific market and concept? Book a 90-Day Profit Playbook at trecoleman.com/playbook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</si>
</sst>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%"/>
    <numFmt numFmtId="167" formatCode="\$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346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CC0000"/>
      <name val="Arial"/>
      <family val="0"/>
      <charset val="1"/>
    </font>
    <font>
      <sz val="10"/>
      <color rgb="FF2E7D32"/>
      <name val="Arial"/>
      <family val="0"/>
      <charset val="1"/>
    </font>
    <font>
      <sz val="10"/>
      <color rgb="FF444444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i val="true"/>
      <sz val="10"/>
      <color rgb="FFE9456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3460"/>
        <bgColor rgb="FF1A1A2E"/>
      </patternFill>
    </fill>
    <fill>
      <patternFill patternType="solid">
        <fgColor rgb="FFF5F5F5"/>
        <bgColor rgb="FFE8F5E9"/>
      </patternFill>
    </fill>
    <fill>
      <patternFill patternType="solid">
        <fgColor rgb="FFFFF3E0"/>
        <bgColor rgb="FFF5F5F5"/>
      </patternFill>
    </fill>
    <fill>
      <patternFill patternType="solid">
        <fgColor rgb="FFE8F5E9"/>
        <bgColor rgb="FFF5F5F5"/>
      </patternFill>
    </fill>
    <fill>
      <patternFill patternType="solid">
        <fgColor rgb="FFE0E0E0"/>
        <bgColor rgb="FFE8F5E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3E0"/>
      <rgbColor rgb="FFE8F5E9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666666"/>
      <rgbColor rgb="FF969696"/>
      <rgbColor rgb="FF0F3460"/>
      <rgbColor rgb="FF2E7D32"/>
      <rgbColor rgb="FF003300"/>
      <rgbColor rgb="FF1A1A2E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3460"/>
    <pageSetUpPr fitToPage="false"/>
  </sheetPr>
  <dimension ref="A1:E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22"/>
    <col collapsed="false" customWidth="true" hidden="false" outlineLevel="0" max="5" min="5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</row>
    <row r="5" customFormat="false" ht="15" hidden="false" customHeight="true" outlineLevel="0" collapsed="false">
      <c r="A5" s="4" t="s">
        <v>3</v>
      </c>
      <c r="B5" s="4"/>
      <c r="C5" s="4"/>
      <c r="D5" s="4"/>
      <c r="E5" s="4"/>
    </row>
    <row r="6" customFormat="false" ht="15" hidden="false" customHeight="false" outlineLevel="0" collapsed="false">
      <c r="A6" s="5"/>
      <c r="B6" s="5" t="s">
        <v>4</v>
      </c>
      <c r="C6" s="5" t="s">
        <v>5</v>
      </c>
      <c r="D6" s="5" t="s">
        <v>6</v>
      </c>
      <c r="E6" s="5" t="s">
        <v>7</v>
      </c>
    </row>
    <row r="7" customFormat="false" ht="15" hidden="false" customHeight="false" outlineLevel="0" collapsed="false">
      <c r="A7" s="6" t="s">
        <v>8</v>
      </c>
      <c r="B7" s="7" t="s">
        <v>9</v>
      </c>
      <c r="C7" s="7" t="s">
        <v>10</v>
      </c>
      <c r="D7" s="7" t="s">
        <v>11</v>
      </c>
      <c r="E7" s="7" t="s">
        <v>12</v>
      </c>
    </row>
    <row r="8" customFormat="false" ht="15" hidden="false" customHeight="false" outlineLevel="0" collapsed="false">
      <c r="A8" s="8" t="s">
        <v>13</v>
      </c>
      <c r="B8" s="9" t="s">
        <v>14</v>
      </c>
      <c r="C8" s="9" t="s">
        <v>15</v>
      </c>
      <c r="D8" s="9" t="s">
        <v>16</v>
      </c>
      <c r="E8" s="9" t="s">
        <v>17</v>
      </c>
    </row>
    <row r="9" customFormat="false" ht="23.85" hidden="false" customHeight="false" outlineLevel="0" collapsed="false">
      <c r="A9" s="6" t="s">
        <v>18</v>
      </c>
      <c r="B9" s="10" t="s">
        <v>19</v>
      </c>
      <c r="C9" s="10" t="s">
        <v>20</v>
      </c>
      <c r="D9" s="10" t="s">
        <v>21</v>
      </c>
      <c r="E9" s="10" t="s">
        <v>22</v>
      </c>
    </row>
    <row r="10" customFormat="false" ht="23.85" hidden="false" customHeight="false" outlineLevel="0" collapsed="false">
      <c r="A10" s="8" t="s">
        <v>23</v>
      </c>
      <c r="B10" s="9" t="s">
        <v>24</v>
      </c>
      <c r="C10" s="9" t="s">
        <v>25</v>
      </c>
      <c r="D10" s="9" t="s">
        <v>26</v>
      </c>
      <c r="E10" s="9" t="s">
        <v>27</v>
      </c>
    </row>
    <row r="11" customFormat="false" ht="15" hidden="false" customHeight="false" outlineLevel="0" collapsed="false">
      <c r="A11" s="6" t="s">
        <v>28</v>
      </c>
      <c r="B11" s="10" t="s">
        <v>29</v>
      </c>
      <c r="C11" s="10" t="s">
        <v>30</v>
      </c>
      <c r="D11" s="10" t="s">
        <v>31</v>
      </c>
      <c r="E11" s="10" t="s">
        <v>32</v>
      </c>
    </row>
    <row r="12" customFormat="false" ht="15" hidden="false" customHeight="false" outlineLevel="0" collapsed="false">
      <c r="A12" s="8" t="s">
        <v>33</v>
      </c>
      <c r="B12" s="9" t="s">
        <v>34</v>
      </c>
      <c r="C12" s="9" t="s">
        <v>35</v>
      </c>
      <c r="D12" s="9" t="s">
        <v>36</v>
      </c>
      <c r="E12" s="9" t="s">
        <v>36</v>
      </c>
    </row>
    <row r="13" customFormat="false" ht="23.85" hidden="false" customHeight="false" outlineLevel="0" collapsed="false">
      <c r="A13" s="6" t="s">
        <v>37</v>
      </c>
      <c r="B13" s="10" t="s">
        <v>38</v>
      </c>
      <c r="C13" s="10" t="s">
        <v>39</v>
      </c>
      <c r="D13" s="10" t="s">
        <v>40</v>
      </c>
      <c r="E13" s="10" t="s">
        <v>41</v>
      </c>
    </row>
    <row r="15" customFormat="false" ht="15" hidden="false" customHeight="true" outlineLevel="0" collapsed="false">
      <c r="A15" s="4" t="s">
        <v>42</v>
      </c>
      <c r="B15" s="4"/>
      <c r="C15" s="4"/>
      <c r="D15" s="4"/>
      <c r="E15" s="4"/>
    </row>
    <row r="16" customFormat="false" ht="15" hidden="false" customHeight="false" outlineLevel="0" collapsed="false">
      <c r="A16" s="5" t="s">
        <v>43</v>
      </c>
      <c r="B16" s="5" t="s">
        <v>44</v>
      </c>
      <c r="C16" s="5" t="s">
        <v>45</v>
      </c>
      <c r="D16" s="5" t="s">
        <v>46</v>
      </c>
      <c r="E16" s="5" t="s">
        <v>47</v>
      </c>
    </row>
    <row r="17" customFormat="false" ht="15" hidden="false" customHeight="false" outlineLevel="0" collapsed="false">
      <c r="A17" s="6" t="s">
        <v>48</v>
      </c>
      <c r="B17" s="11" t="n">
        <v>8</v>
      </c>
      <c r="C17" s="11" t="n">
        <v>12</v>
      </c>
      <c r="D17" s="11" t="n">
        <v>16</v>
      </c>
      <c r="E17" s="11" t="n">
        <v>22</v>
      </c>
    </row>
    <row r="18" customFormat="false" ht="15" hidden="false" customHeight="false" outlineLevel="0" collapsed="false">
      <c r="A18" s="8" t="s">
        <v>49</v>
      </c>
      <c r="B18" s="12" t="n">
        <v>3</v>
      </c>
      <c r="C18" s="12" t="n">
        <v>8</v>
      </c>
      <c r="D18" s="12" t="n">
        <v>12</v>
      </c>
      <c r="E18" s="12" t="n">
        <v>18</v>
      </c>
    </row>
    <row r="19" customFormat="false" ht="15" hidden="false" customHeight="false" outlineLevel="0" collapsed="false">
      <c r="A19" s="6" t="s">
        <v>50</v>
      </c>
      <c r="B19" s="11" t="n">
        <v>2</v>
      </c>
      <c r="C19" s="11" t="n">
        <v>3</v>
      </c>
      <c r="D19" s="11" t="n">
        <v>4</v>
      </c>
      <c r="E19" s="11" t="n">
        <v>5</v>
      </c>
    </row>
    <row r="20" customFormat="false" ht="15" hidden="false" customHeight="false" outlineLevel="0" collapsed="false">
      <c r="A20" s="8" t="s">
        <v>51</v>
      </c>
      <c r="B20" s="13" t="n">
        <f aca="false">SUM(B17:B19)</f>
        <v>13</v>
      </c>
      <c r="C20" s="13" t="n">
        <f aca="false">SUM(C17:C19)</f>
        <v>23</v>
      </c>
      <c r="D20" s="13" t="n">
        <f aca="false">SUM(D17:D19)</f>
        <v>32</v>
      </c>
      <c r="E20" s="13" t="n">
        <f aca="false">SUM(E17:E19)</f>
        <v>45</v>
      </c>
    </row>
    <row r="21" customFormat="false" ht="15" hidden="false" customHeight="false" outlineLevel="0" collapsed="false">
      <c r="A21" s="6" t="s">
        <v>52</v>
      </c>
      <c r="B21" s="14" t="n">
        <v>0.2</v>
      </c>
      <c r="C21" s="14" t="n">
        <v>0.25</v>
      </c>
      <c r="D21" s="14" t="n">
        <v>0.3</v>
      </c>
      <c r="E21" s="14" t="n">
        <v>0.35</v>
      </c>
    </row>
    <row r="22" customFormat="false" ht="15" hidden="false" customHeight="false" outlineLevel="0" collapsed="false">
      <c r="A22" s="8"/>
      <c r="B22" s="15"/>
      <c r="C22" s="15"/>
      <c r="D22" s="15"/>
      <c r="E22" s="15"/>
    </row>
    <row r="23" customFormat="false" ht="15" hidden="false" customHeight="false" outlineLevel="0" collapsed="false">
      <c r="A23" s="6" t="s">
        <v>53</v>
      </c>
      <c r="B23" s="16" t="n">
        <f aca="false">B20/(1-B21)</f>
        <v>16.25</v>
      </c>
      <c r="C23" s="16" t="n">
        <f aca="false">C20/(1-C21)</f>
        <v>30.6666666666667</v>
      </c>
      <c r="D23" s="16" t="n">
        <f aca="false">D20/(1-D21)</f>
        <v>45.7142857142857</v>
      </c>
      <c r="E23" s="16" t="n">
        <f aca="false">E20/(1-E21)</f>
        <v>69.2307692307692</v>
      </c>
    </row>
    <row r="24" customFormat="false" ht="15" hidden="false" customHeight="false" outlineLevel="0" collapsed="false">
      <c r="A24" s="8" t="s">
        <v>54</v>
      </c>
      <c r="B24" s="17" t="n">
        <f aca="false">B23*50</f>
        <v>812.5</v>
      </c>
      <c r="C24" s="17" t="n">
        <f aca="false">C23*50</f>
        <v>1533.33333333333</v>
      </c>
      <c r="D24" s="17" t="n">
        <f aca="false">D23*50</f>
        <v>2285.71428571429</v>
      </c>
      <c r="E24" s="17" t="n">
        <f aca="false">E23*50</f>
        <v>3461.53846153846</v>
      </c>
    </row>
    <row r="25" customFormat="false" ht="15" hidden="false" customHeight="false" outlineLevel="0" collapsed="false">
      <c r="A25" s="6" t="s">
        <v>55</v>
      </c>
      <c r="B25" s="18" t="n">
        <f aca="false">(B23-B20)*50</f>
        <v>162.5</v>
      </c>
      <c r="C25" s="18" t="n">
        <f aca="false">(C23-C20)*50</f>
        <v>383.333333333333</v>
      </c>
      <c r="D25" s="18" t="n">
        <f aca="false">(D23-D20)*50</f>
        <v>685.714285714286</v>
      </c>
      <c r="E25" s="18" t="n">
        <f aca="false">(E23-E20)*50</f>
        <v>1211.53846153846</v>
      </c>
    </row>
    <row r="26" customFormat="false" ht="15" hidden="false" customHeight="false" outlineLevel="0" collapsed="false">
      <c r="A26" s="8" t="s">
        <v>56</v>
      </c>
      <c r="B26" s="17" t="n">
        <f aca="false">B23*100</f>
        <v>1625</v>
      </c>
      <c r="C26" s="17" t="n">
        <f aca="false">C23*100</f>
        <v>3066.66666666667</v>
      </c>
      <c r="D26" s="17" t="n">
        <f aca="false">D23*100</f>
        <v>4571.42857142857</v>
      </c>
      <c r="E26" s="17" t="n">
        <f aca="false">E23*100</f>
        <v>6923.07692307692</v>
      </c>
    </row>
    <row r="27" customFormat="false" ht="15" hidden="false" customHeight="false" outlineLevel="0" collapsed="false">
      <c r="A27" s="6" t="s">
        <v>57</v>
      </c>
      <c r="B27" s="18" t="n">
        <f aca="false">(B23-B20)*100</f>
        <v>325</v>
      </c>
      <c r="C27" s="18" t="n">
        <f aca="false">(C23-C20)*100</f>
        <v>766.666666666667</v>
      </c>
      <c r="D27" s="18" t="n">
        <f aca="false">(D23-D20)*100</f>
        <v>1371.42857142857</v>
      </c>
      <c r="E27" s="18" t="n">
        <f aca="false">(E23-E20)*100</f>
        <v>2423.07692307692</v>
      </c>
    </row>
    <row r="29" customFormat="false" ht="15" hidden="false" customHeight="true" outlineLevel="0" collapsed="false">
      <c r="A29" s="4" t="s">
        <v>58</v>
      </c>
      <c r="B29" s="4"/>
      <c r="C29" s="4"/>
      <c r="D29" s="4"/>
      <c r="E29" s="4"/>
    </row>
    <row r="30" customFormat="false" ht="15" hidden="false" customHeight="false" outlineLevel="0" collapsed="false">
      <c r="A30" s="5" t="s">
        <v>59</v>
      </c>
      <c r="B30" s="5" t="s">
        <v>44</v>
      </c>
      <c r="C30" s="5" t="s">
        <v>45</v>
      </c>
      <c r="D30" s="5" t="s">
        <v>46</v>
      </c>
      <c r="E30" s="5" t="s">
        <v>47</v>
      </c>
    </row>
    <row r="31" customFormat="false" ht="15" hidden="false" customHeight="false" outlineLevel="0" collapsed="false">
      <c r="A31" s="19" t="s">
        <v>60</v>
      </c>
      <c r="B31" s="20" t="s">
        <v>61</v>
      </c>
      <c r="C31" s="21" t="s">
        <v>62</v>
      </c>
      <c r="D31" s="21" t="s">
        <v>62</v>
      </c>
      <c r="E31" s="21" t="s">
        <v>62</v>
      </c>
    </row>
    <row r="32" customFormat="false" ht="15" hidden="false" customHeight="false" outlineLevel="0" collapsed="false">
      <c r="A32" s="15" t="s">
        <v>63</v>
      </c>
      <c r="B32" s="22" t="s">
        <v>61</v>
      </c>
      <c r="C32" s="22" t="s">
        <v>61</v>
      </c>
      <c r="D32" s="23" t="s">
        <v>62</v>
      </c>
      <c r="E32" s="23" t="s">
        <v>62</v>
      </c>
    </row>
    <row r="33" customFormat="false" ht="15" hidden="false" customHeight="false" outlineLevel="0" collapsed="false">
      <c r="A33" s="19" t="s">
        <v>64</v>
      </c>
      <c r="B33" s="20" t="s">
        <v>61</v>
      </c>
      <c r="C33" s="20" t="s">
        <v>61</v>
      </c>
      <c r="D33" s="20" t="s">
        <v>61</v>
      </c>
      <c r="E33" s="21" t="s">
        <v>62</v>
      </c>
    </row>
    <row r="34" customFormat="false" ht="15" hidden="false" customHeight="false" outlineLevel="0" collapsed="false">
      <c r="A34" s="15" t="s">
        <v>65</v>
      </c>
      <c r="B34" s="24" t="s">
        <v>66</v>
      </c>
      <c r="C34" s="24" t="s">
        <v>67</v>
      </c>
      <c r="D34" s="24" t="s">
        <v>68</v>
      </c>
      <c r="E34" s="24" t="s">
        <v>69</v>
      </c>
    </row>
    <row r="35" customFormat="false" ht="15" hidden="false" customHeight="false" outlineLevel="0" collapsed="false">
      <c r="A35" s="19" t="s">
        <v>70</v>
      </c>
      <c r="B35" s="20" t="s">
        <v>61</v>
      </c>
      <c r="C35" s="21" t="s">
        <v>62</v>
      </c>
      <c r="D35" s="21" t="s">
        <v>62</v>
      </c>
      <c r="E35" s="21" t="s">
        <v>62</v>
      </c>
    </row>
    <row r="36" customFormat="false" ht="15" hidden="false" customHeight="false" outlineLevel="0" collapsed="false">
      <c r="A36" s="15" t="s">
        <v>71</v>
      </c>
      <c r="B36" s="22" t="s">
        <v>61</v>
      </c>
      <c r="C36" s="22" t="s">
        <v>61</v>
      </c>
      <c r="D36" s="23" t="s">
        <v>62</v>
      </c>
      <c r="E36" s="23" t="s">
        <v>62</v>
      </c>
    </row>
    <row r="37" customFormat="false" ht="15" hidden="false" customHeight="false" outlineLevel="0" collapsed="false">
      <c r="A37" s="19" t="s">
        <v>72</v>
      </c>
      <c r="B37" s="20" t="s">
        <v>61</v>
      </c>
      <c r="C37" s="20" t="s">
        <v>61</v>
      </c>
      <c r="D37" s="25" t="s">
        <v>73</v>
      </c>
      <c r="E37" s="21" t="s">
        <v>62</v>
      </c>
    </row>
    <row r="38" customFormat="false" ht="15" hidden="false" customHeight="false" outlineLevel="0" collapsed="false">
      <c r="A38" s="15" t="s">
        <v>74</v>
      </c>
      <c r="B38" s="22" t="s">
        <v>61</v>
      </c>
      <c r="C38" s="22" t="s">
        <v>61</v>
      </c>
      <c r="D38" s="24" t="s">
        <v>73</v>
      </c>
      <c r="E38" s="23" t="s">
        <v>62</v>
      </c>
    </row>
    <row r="39" customFormat="false" ht="15" hidden="false" customHeight="false" outlineLevel="0" collapsed="false">
      <c r="A39" s="19" t="s">
        <v>75</v>
      </c>
      <c r="B39" s="20" t="s">
        <v>61</v>
      </c>
      <c r="C39" s="20" t="s">
        <v>61</v>
      </c>
      <c r="D39" s="20" t="s">
        <v>61</v>
      </c>
      <c r="E39" s="21" t="s">
        <v>62</v>
      </c>
    </row>
    <row r="40" customFormat="false" ht="15" hidden="false" customHeight="false" outlineLevel="0" collapsed="false">
      <c r="A40" s="15" t="s">
        <v>76</v>
      </c>
      <c r="B40" s="22" t="s">
        <v>61</v>
      </c>
      <c r="C40" s="23" t="s">
        <v>62</v>
      </c>
      <c r="D40" s="23" t="s">
        <v>62</v>
      </c>
      <c r="E40" s="23" t="s">
        <v>62</v>
      </c>
    </row>
    <row r="41" customFormat="false" ht="15" hidden="false" customHeight="false" outlineLevel="0" collapsed="false">
      <c r="A41" s="19" t="s">
        <v>77</v>
      </c>
      <c r="B41" s="20" t="s">
        <v>61</v>
      </c>
      <c r="C41" s="25" t="s">
        <v>78</v>
      </c>
      <c r="D41" s="25" t="s">
        <v>79</v>
      </c>
      <c r="E41" s="25" t="s">
        <v>80</v>
      </c>
    </row>
    <row r="42" customFormat="false" ht="15" hidden="false" customHeight="false" outlineLevel="0" collapsed="false">
      <c r="A42" s="15" t="s">
        <v>81</v>
      </c>
      <c r="B42" s="23" t="s">
        <v>62</v>
      </c>
      <c r="C42" s="23" t="s">
        <v>62</v>
      </c>
      <c r="D42" s="23" t="s">
        <v>62</v>
      </c>
      <c r="E42" s="23" t="s">
        <v>62</v>
      </c>
    </row>
    <row r="44" customFormat="false" ht="15" hidden="false" customHeight="true" outlineLevel="0" collapsed="false">
      <c r="A44" s="4" t="s">
        <v>82</v>
      </c>
      <c r="B44" s="4"/>
      <c r="C44" s="4"/>
      <c r="D44" s="4"/>
      <c r="E44" s="4"/>
    </row>
    <row r="45" customFormat="false" ht="15" hidden="false" customHeight="false" outlineLevel="0" collapsed="false">
      <c r="A45" s="26" t="s">
        <v>83</v>
      </c>
      <c r="B45" s="26" t="s">
        <v>84</v>
      </c>
      <c r="C45" s="26" t="s">
        <v>85</v>
      </c>
      <c r="D45" s="26"/>
      <c r="E45" s="26"/>
    </row>
    <row r="46" customFormat="false" ht="23.85" hidden="false" customHeight="true" outlineLevel="0" collapsed="false">
      <c r="A46" s="6" t="s">
        <v>86</v>
      </c>
      <c r="B46" s="19" t="s">
        <v>87</v>
      </c>
      <c r="C46" s="19"/>
      <c r="D46" s="27" t="s">
        <v>88</v>
      </c>
      <c r="E46" s="27"/>
    </row>
    <row r="47" customFormat="false" ht="23.85" hidden="false" customHeight="true" outlineLevel="0" collapsed="false">
      <c r="A47" s="8" t="s">
        <v>89</v>
      </c>
      <c r="B47" s="15" t="s">
        <v>90</v>
      </c>
      <c r="C47" s="15"/>
      <c r="D47" s="28" t="s">
        <v>91</v>
      </c>
      <c r="E47" s="28"/>
    </row>
    <row r="48" customFormat="false" ht="23.85" hidden="false" customHeight="true" outlineLevel="0" collapsed="false">
      <c r="A48" s="6" t="s">
        <v>92</v>
      </c>
      <c r="B48" s="19" t="s">
        <v>93</v>
      </c>
      <c r="C48" s="19"/>
      <c r="D48" s="27" t="s">
        <v>94</v>
      </c>
      <c r="E48" s="27"/>
    </row>
    <row r="49" customFormat="false" ht="23.85" hidden="false" customHeight="true" outlineLevel="0" collapsed="false">
      <c r="A49" s="8" t="s">
        <v>95</v>
      </c>
      <c r="B49" s="15" t="s">
        <v>96</v>
      </c>
      <c r="C49" s="15"/>
      <c r="D49" s="28" t="s">
        <v>97</v>
      </c>
      <c r="E49" s="28"/>
    </row>
    <row r="52" customFormat="false" ht="15" hidden="false" customHeight="true" outlineLevel="0" collapsed="false">
      <c r="A52" s="29" t="s">
        <v>98</v>
      </c>
      <c r="B52" s="29"/>
      <c r="C52" s="29"/>
      <c r="D52" s="29"/>
      <c r="E52" s="29"/>
    </row>
  </sheetData>
  <mergeCells count="16">
    <mergeCell ref="A1:E1"/>
    <mergeCell ref="A2:E2"/>
    <mergeCell ref="A3:E3"/>
    <mergeCell ref="A5:E5"/>
    <mergeCell ref="A15:E15"/>
    <mergeCell ref="A29:E29"/>
    <mergeCell ref="A44:E44"/>
    <mergeCell ref="B46:C46"/>
    <mergeCell ref="D46:E46"/>
    <mergeCell ref="B47:C47"/>
    <mergeCell ref="D47:E47"/>
    <mergeCell ref="B48:C48"/>
    <mergeCell ref="D48:E48"/>
    <mergeCell ref="B49:C49"/>
    <mergeCell ref="D49:E49"/>
    <mergeCell ref="A52:E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2026-02-12T17:56:42Z</dcterms:created>
  <dc:creator>openpyxl</dc:creator>
  <dc:description/>
  <dc:language>en-US</dc:language>
  <cp:lastModifiedBy/>
  <dcterms:modified xsi:type="dcterms:W3CDTF">2026-02-12T17:56:42Z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