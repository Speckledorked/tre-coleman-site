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od Cost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<sst xmlns="http://schemas.openxmlformats.org/spreadsheetml/2006/main" count="115" uniqueCount="74">
  <si>
    <t xml:space="preserve">FOOD COST CALCULATOR: CATERING-SPECIFIC ITEMS</t>
  </si>
  <si>
    <t xml:space="preserve">The Catering Profit System  |  Module 3  |  Per-person food cost for full catering menus</t>
  </si>
  <si>
    <t xml:space="preserve">Unlike the Recipe Cost Card (single recipes), this calculator costs a COMPLETE catering menu per guest. Blue = inputs.</t>
  </si>
  <si>
    <t xml:space="preserve">EVENT MENU DETAILS</t>
  </si>
  <si>
    <t xml:space="preserve">Event / Menu Name</t>
  </si>
  <si>
    <t xml:space="preserve">Projected Guest Count</t>
  </si>
  <si>
    <t xml:space="preserve">Service Style</t>
  </si>
  <si>
    <t xml:space="preserve">Buffet</t>
  </si>
  <si>
    <t xml:space="preserve">PROTEINS / MAIN ITEMS</t>
  </si>
  <si>
    <t xml:space="preserve">Item</t>
  </si>
  <si>
    <t xml:space="preserve">Portion/Guest</t>
  </si>
  <si>
    <t xml:space="preserve">Unit</t>
  </si>
  <si>
    <t xml:space="preserve">Pack Size</t>
  </si>
  <si>
    <t xml:space="preserve">Pack Cost</t>
  </si>
  <si>
    <t xml:space="preserve">Cost/Portion</t>
  </si>
  <si>
    <t xml:space="preserve">Guests</t>
  </si>
  <si>
    <t xml:space="preserve">Total Cost</t>
  </si>
  <si>
    <t xml:space="preserve">Grilled Chicken Breast</t>
  </si>
  <si>
    <t xml:space="preserve">6</t>
  </si>
  <si>
    <t xml:space="preserve">oz</t>
  </si>
  <si>
    <t xml:space="preserve">BBQ Pulled Pork</t>
  </si>
  <si>
    <t xml:space="preserve">4</t>
  </si>
  <si>
    <t xml:space="preserve">Herb-Crusted Salmon</t>
  </si>
  <si>
    <t xml:space="preserve">5</t>
  </si>
  <si>
    <t xml:space="preserve">Vegetarian Pasta (per serving)</t>
  </si>
  <si>
    <t xml:space="preserve">8</t>
  </si>
  <si>
    <t xml:space="preserve">PROTEIN SUBTOTAL</t>
  </si>
  <si>
    <t xml:space="preserve">SIDES &amp; STARCHES</t>
  </si>
  <si>
    <t xml:space="preserve">Mac &amp; Cheese</t>
  </si>
  <si>
    <t xml:space="preserve">Roasted Seasonal Vegetables</t>
  </si>
  <si>
    <t xml:space="preserve">Rice Pilaf</t>
  </si>
  <si>
    <t xml:space="preserve">Dinner Rolls</t>
  </si>
  <si>
    <t xml:space="preserve">1.5</t>
  </si>
  <si>
    <t xml:space="preserve">each</t>
  </si>
  <si>
    <t xml:space="preserve">SIDES SUBTOTAL</t>
  </si>
  <si>
    <t xml:space="preserve">APPETIZERS / SALADS / STARTERS</t>
  </si>
  <si>
    <t xml:space="preserve">Bruschetta Trio</t>
  </si>
  <si>
    <t xml:space="preserve">2</t>
  </si>
  <si>
    <t xml:space="preserve">pieces</t>
  </si>
  <si>
    <t xml:space="preserve">Garden Salad</t>
  </si>
  <si>
    <t xml:space="preserve">3</t>
  </si>
  <si>
    <t xml:space="preserve">APPETIZER SUBTOTAL</t>
  </si>
  <si>
    <t xml:space="preserve">DESSERTS, BEVERAGES &amp; OTHER</t>
  </si>
  <si>
    <t xml:space="preserve">Chocolate Lava Cake</t>
  </si>
  <si>
    <t xml:space="preserve">1</t>
  </si>
  <si>
    <t xml:space="preserve">Lemonade (gallons for 100)</t>
  </si>
  <si>
    <t xml:space="preserve">0.15</t>
  </si>
  <si>
    <t xml:space="preserve">gallons</t>
  </si>
  <si>
    <t xml:space="preserve">Coffee Service</t>
  </si>
  <si>
    <t xml:space="preserve">cup</t>
  </si>
  <si>
    <t xml:space="preserve">Condiments / Sauces</t>
  </si>
  <si>
    <t xml:space="preserve">set</t>
  </si>
  <si>
    <t xml:space="preserve">Disposable Plates / Napkins / Utensils</t>
  </si>
  <si>
    <t xml:space="preserve">Aluminum Foil / Wrap / Bags</t>
  </si>
  <si>
    <t xml:space="preserve">OTHER SUBTOTAL</t>
  </si>
  <si>
    <t xml:space="preserve">TOTAL FOOD COST SUMMARY</t>
  </si>
  <si>
    <t xml:space="preserve">Protein / Mains Total</t>
  </si>
  <si>
    <t xml:space="preserve">Sides / Starches Total</t>
  </si>
  <si>
    <t xml:space="preserve">Appetizers / Salads Total</t>
  </si>
  <si>
    <t xml:space="preserve">Desserts / Beverages / Other Total</t>
  </si>
  <si>
    <t xml:space="preserve">TOTAL FOOD COST (Before Waste)</t>
  </si>
  <si>
    <t xml:space="preserve">Waste Buffer %</t>
  </si>
  <si>
    <t xml:space="preserve">Waste Buffer $</t>
  </si>
  <si>
    <t xml:space="preserve">TOTAL FOOD COST (With Waste)</t>
  </si>
  <si>
    <t xml:space="preserve">Cost Per Guest</t>
  </si>
  <si>
    <t xml:space="preserve">Target Food Cost %</t>
  </si>
  <si>
    <t xml:space="preserve">Suggested Price Per Guest</t>
  </si>
  <si>
    <t xml:space="preserve">Suggested Total Event Price</t>
  </si>
  <si>
    <t xml:space="preserve">Your Actual Price Per Guest</t>
  </si>
  <si>
    <t xml:space="preserve">Your Actual Event Price</t>
  </si>
  <si>
    <t xml:space="preserve">Actual Food Cost %</t>
  </si>
  <si>
    <t xml:space="preserve">Actual Gross Profit</t>
  </si>
  <si>
    <t xml:space="preserve">Actual Gross Margin %</t>
  </si>
  <si>
    <t xml:space="preserve">Want a full food cost analysis for your entire catering menu? Book a Profit Leak Snapshot at trecoleman.com/profit-leak-snapshot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</si>
</sst>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$#,##0.00"/>
    <numFmt numFmtId="167" formatCode="0%"/>
    <numFmt numFmtId="168" formatCode="\$#,##0"/>
    <numFmt numFmtId="169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F5F5F5"/>
        <bgColor rgb="FFE8F5E9"/>
      </patternFill>
    </fill>
    <fill>
      <patternFill patternType="solid">
        <fgColor rgb="FFE0E0E0"/>
        <bgColor rgb="FFE3F2FD"/>
      </patternFill>
    </fill>
    <fill>
      <patternFill patternType="solid">
        <fgColor rgb="FFE94560"/>
        <bgColor rgb="FF993366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E0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H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A6" s="5" t="s">
        <v>4</v>
      </c>
      <c r="B6" s="5"/>
      <c r="C6" s="6"/>
      <c r="D6" s="6"/>
      <c r="E6" s="6"/>
      <c r="F6" s="6"/>
      <c r="G6" s="6"/>
      <c r="H6" s="6"/>
    </row>
    <row r="7" customFormat="false" ht="15" hidden="false" customHeight="true" outlineLevel="0" collapsed="false">
      <c r="A7" s="5" t="s">
        <v>5</v>
      </c>
      <c r="B7" s="5"/>
      <c r="C7" s="7" t="n">
        <v>100</v>
      </c>
      <c r="D7" s="8"/>
      <c r="E7" s="8"/>
      <c r="F7" s="8"/>
      <c r="G7" s="8"/>
      <c r="H7" s="8"/>
    </row>
    <row r="8" customFormat="false" ht="15" hidden="false" customHeight="true" outlineLevel="0" collapsed="false">
      <c r="A8" s="5" t="s">
        <v>6</v>
      </c>
      <c r="B8" s="5"/>
      <c r="C8" s="6" t="s">
        <v>7</v>
      </c>
      <c r="D8" s="8"/>
      <c r="E8" s="8"/>
      <c r="F8" s="8"/>
      <c r="G8" s="8"/>
      <c r="H8" s="8"/>
    </row>
    <row r="10" customFormat="false" ht="15" hidden="false" customHeight="true" outlineLevel="0" collapsed="false">
      <c r="A10" s="4" t="s">
        <v>8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9" t="s">
        <v>9</v>
      </c>
      <c r="B11" s="9" t="s">
        <v>10</v>
      </c>
      <c r="C11" s="9" t="s">
        <v>11</v>
      </c>
      <c r="D11" s="9" t="s">
        <v>12</v>
      </c>
      <c r="E11" s="9" t="s">
        <v>13</v>
      </c>
      <c r="F11" s="9" t="s">
        <v>14</v>
      </c>
      <c r="G11" s="9" t="s">
        <v>15</v>
      </c>
      <c r="H11" s="9" t="s">
        <v>16</v>
      </c>
    </row>
    <row r="12" customFormat="false" ht="15" hidden="false" customHeight="false" outlineLevel="0" collapsed="false">
      <c r="A12" s="10" t="s">
        <v>17</v>
      </c>
      <c r="B12" s="11" t="s">
        <v>18</v>
      </c>
      <c r="C12" s="11" t="s">
        <v>19</v>
      </c>
      <c r="D12" s="11" t="n">
        <v>640</v>
      </c>
      <c r="E12" s="12" t="n">
        <v>38.99</v>
      </c>
      <c r="F12" s="13" t="n">
        <f aca="false">IF(AND(B12&lt;&gt;"",D12&lt;&gt;"",D12&lt;&gt;0),(B12/D12)*E12,"")</f>
        <v>0.36553125</v>
      </c>
      <c r="G12" s="14" t="n">
        <f aca="false">IF(A12&lt;&gt;"",$C$7,"")</f>
        <v>100</v>
      </c>
      <c r="H12" s="13" t="n">
        <f aca="false">IF(F12&lt;&gt;"",F12*G12,"")</f>
        <v>36.553125</v>
      </c>
    </row>
    <row r="13" customFormat="false" ht="15" hidden="false" customHeight="false" outlineLevel="0" collapsed="false">
      <c r="A13" s="8" t="s">
        <v>20</v>
      </c>
      <c r="B13" s="15" t="s">
        <v>21</v>
      </c>
      <c r="C13" s="15" t="s">
        <v>19</v>
      </c>
      <c r="D13" s="15" t="n">
        <v>320</v>
      </c>
      <c r="E13" s="16" t="n">
        <v>42.99</v>
      </c>
      <c r="F13" s="17" t="n">
        <f aca="false">IF(AND(B13&lt;&gt;"",D13&lt;&gt;"",D13&lt;&gt;0),(B13/D13)*E13,"")</f>
        <v>0.537375</v>
      </c>
      <c r="G13" s="18" t="n">
        <f aca="false">IF(A13&lt;&gt;"",$C$7,"")</f>
        <v>100</v>
      </c>
      <c r="H13" s="17" t="n">
        <f aca="false">IF(F13&lt;&gt;"",F13*G13,"")</f>
        <v>53.7375</v>
      </c>
    </row>
    <row r="14" customFormat="false" ht="15" hidden="false" customHeight="false" outlineLevel="0" collapsed="false">
      <c r="A14" s="10" t="s">
        <v>22</v>
      </c>
      <c r="B14" s="11" t="s">
        <v>23</v>
      </c>
      <c r="C14" s="11" t="s">
        <v>19</v>
      </c>
      <c r="D14" s="11" t="n">
        <v>160</v>
      </c>
      <c r="E14" s="12" t="n">
        <v>89.99</v>
      </c>
      <c r="F14" s="13" t="n">
        <f aca="false">IF(AND(B14&lt;&gt;"",D14&lt;&gt;"",D14&lt;&gt;0),(B14/D14)*E14,"")</f>
        <v>2.8121875</v>
      </c>
      <c r="G14" s="14" t="n">
        <f aca="false">IF(A14&lt;&gt;"",$C$7,"")</f>
        <v>100</v>
      </c>
      <c r="H14" s="13" t="n">
        <f aca="false">IF(F14&lt;&gt;"",F14*G14,"")</f>
        <v>281.21875</v>
      </c>
    </row>
    <row r="15" customFormat="false" ht="23.85" hidden="false" customHeight="false" outlineLevel="0" collapsed="false">
      <c r="A15" s="8" t="s">
        <v>24</v>
      </c>
      <c r="B15" s="15" t="s">
        <v>25</v>
      </c>
      <c r="C15" s="15" t="s">
        <v>19</v>
      </c>
      <c r="D15" s="15" t="n">
        <v>320</v>
      </c>
      <c r="E15" s="16" t="n">
        <v>18.99</v>
      </c>
      <c r="F15" s="17" t="n">
        <f aca="false">IF(AND(B15&lt;&gt;"",D15&lt;&gt;"",D15&lt;&gt;0),(B15/D15)*E15,"")</f>
        <v>0.47475</v>
      </c>
      <c r="G15" s="18" t="n">
        <f aca="false">IF(A15&lt;&gt;"",$C$7,"")</f>
        <v>100</v>
      </c>
      <c r="H15" s="17" t="n">
        <f aca="false">IF(F15&lt;&gt;"",F15*G15,"")</f>
        <v>47.475</v>
      </c>
    </row>
    <row r="16" customFormat="false" ht="15" hidden="false" customHeight="false" outlineLevel="0" collapsed="false">
      <c r="A16" s="10"/>
      <c r="B16" s="11"/>
      <c r="C16" s="11"/>
      <c r="D16" s="11"/>
      <c r="E16" s="12"/>
      <c r="F16" s="13" t="str">
        <f aca="false">IF(AND(B16&lt;&gt;"",D16&lt;&gt;"",D16&lt;&gt;0),(B16/D16)*E16,"")</f>
        <v/>
      </c>
      <c r="G16" s="14" t="str">
        <f aca="false">IF(A16&lt;&gt;"",$C$7,"")</f>
        <v/>
      </c>
      <c r="H16" s="13" t="str">
        <f aca="false">IF(F16&lt;&gt;"",F16*G16,"")</f>
        <v/>
      </c>
    </row>
    <row r="17" customFormat="false" ht="15" hidden="false" customHeight="false" outlineLevel="0" collapsed="false">
      <c r="A17" s="8"/>
      <c r="B17" s="15"/>
      <c r="C17" s="15"/>
      <c r="D17" s="15"/>
      <c r="E17" s="16"/>
      <c r="F17" s="17" t="str">
        <f aca="false">IF(AND(B17&lt;&gt;"",D17&lt;&gt;"",D17&lt;&gt;0),(B17/D17)*E17,"")</f>
        <v/>
      </c>
      <c r="G17" s="18" t="str">
        <f aca="false">IF(A17&lt;&gt;"",$C$7,"")</f>
        <v/>
      </c>
      <c r="H17" s="17" t="str">
        <f aca="false">IF(F17&lt;&gt;"",F17*G17,"")</f>
        <v/>
      </c>
    </row>
    <row r="18" customFormat="false" ht="15" hidden="false" customHeight="false" outlineLevel="0" collapsed="false">
      <c r="A18" s="19" t="s">
        <v>26</v>
      </c>
      <c r="B18" s="20"/>
      <c r="C18" s="20"/>
      <c r="D18" s="20"/>
      <c r="E18" s="20"/>
      <c r="F18" s="20"/>
      <c r="G18" s="20"/>
      <c r="H18" s="21" t="n">
        <f aca="false">SUM(H12:H17)</f>
        <v>418.984375</v>
      </c>
    </row>
    <row r="20" customFormat="false" ht="15" hidden="false" customHeight="true" outlineLevel="0" collapsed="false">
      <c r="A20" s="4" t="s">
        <v>27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9" t="s">
        <v>9</v>
      </c>
      <c r="B21" s="9" t="s">
        <v>10</v>
      </c>
      <c r="C21" s="9" t="s">
        <v>11</v>
      </c>
      <c r="D21" s="9" t="s">
        <v>12</v>
      </c>
      <c r="E21" s="9" t="s">
        <v>13</v>
      </c>
      <c r="F21" s="9" t="s">
        <v>14</v>
      </c>
      <c r="G21" s="9" t="s">
        <v>15</v>
      </c>
      <c r="H21" s="9" t="s">
        <v>16</v>
      </c>
    </row>
    <row r="22" customFormat="false" ht="15" hidden="false" customHeight="false" outlineLevel="0" collapsed="false">
      <c r="A22" s="10" t="s">
        <v>28</v>
      </c>
      <c r="B22" s="11" t="s">
        <v>23</v>
      </c>
      <c r="C22" s="11" t="s">
        <v>19</v>
      </c>
      <c r="D22" s="11" t="n">
        <v>320</v>
      </c>
      <c r="E22" s="12" t="n">
        <v>14.99</v>
      </c>
      <c r="F22" s="13" t="n">
        <f aca="false">IF(AND(B22&lt;&gt;"",D22&lt;&gt;"",D22&lt;&gt;0),(B22/D22)*E22,"")</f>
        <v>0.23421875</v>
      </c>
      <c r="G22" s="14" t="n">
        <f aca="false">IF(A22&lt;&gt;"",$C$7,"")</f>
        <v>100</v>
      </c>
      <c r="H22" s="13" t="n">
        <f aca="false">IF(F22&lt;&gt;"",F22*G22,"")</f>
        <v>23.421875</v>
      </c>
    </row>
    <row r="23" customFormat="false" ht="23.85" hidden="false" customHeight="false" outlineLevel="0" collapsed="false">
      <c r="A23" s="8" t="s">
        <v>29</v>
      </c>
      <c r="B23" s="15" t="s">
        <v>21</v>
      </c>
      <c r="C23" s="15" t="s">
        <v>19</v>
      </c>
      <c r="D23" s="15" t="n">
        <v>320</v>
      </c>
      <c r="E23" s="16" t="n">
        <v>22.99</v>
      </c>
      <c r="F23" s="17" t="n">
        <f aca="false">IF(AND(B23&lt;&gt;"",D23&lt;&gt;"",D23&lt;&gt;0),(B23/D23)*E23,"")</f>
        <v>0.287375</v>
      </c>
      <c r="G23" s="18" t="n">
        <f aca="false">IF(A23&lt;&gt;"",$C$7,"")</f>
        <v>100</v>
      </c>
      <c r="H23" s="17" t="n">
        <f aca="false">IF(F23&lt;&gt;"",F23*G23,"")</f>
        <v>28.7375</v>
      </c>
    </row>
    <row r="24" customFormat="false" ht="15" hidden="false" customHeight="false" outlineLevel="0" collapsed="false">
      <c r="A24" s="10" t="s">
        <v>30</v>
      </c>
      <c r="B24" s="11" t="s">
        <v>21</v>
      </c>
      <c r="C24" s="11" t="s">
        <v>19</v>
      </c>
      <c r="D24" s="11" t="n">
        <v>800</v>
      </c>
      <c r="E24" s="12" t="n">
        <v>18.99</v>
      </c>
      <c r="F24" s="13" t="n">
        <f aca="false">IF(AND(B24&lt;&gt;"",D24&lt;&gt;"",D24&lt;&gt;0),(B24/D24)*E24,"")</f>
        <v>0.09495</v>
      </c>
      <c r="G24" s="14" t="n">
        <f aca="false">IF(A24&lt;&gt;"",$C$7,"")</f>
        <v>100</v>
      </c>
      <c r="H24" s="13" t="n">
        <f aca="false">IF(F24&lt;&gt;"",F24*G24,"")</f>
        <v>9.495</v>
      </c>
    </row>
    <row r="25" customFormat="false" ht="15" hidden="false" customHeight="false" outlineLevel="0" collapsed="false">
      <c r="A25" s="8" t="s">
        <v>31</v>
      </c>
      <c r="B25" s="15" t="s">
        <v>32</v>
      </c>
      <c r="C25" s="15" t="s">
        <v>33</v>
      </c>
      <c r="D25" s="15" t="n">
        <v>72</v>
      </c>
      <c r="E25" s="16" t="n">
        <v>8.99</v>
      </c>
      <c r="F25" s="17" t="n">
        <f aca="false">IF(AND(B25&lt;&gt;"",D25&lt;&gt;"",D25&lt;&gt;0),(B25/D25)*E25,"")</f>
        <v>0.187291666666667</v>
      </c>
      <c r="G25" s="18" t="n">
        <f aca="false">IF(A25&lt;&gt;"",$C$7,"")</f>
        <v>100</v>
      </c>
      <c r="H25" s="17" t="n">
        <f aca="false">IF(F25&lt;&gt;"",F25*G25,"")</f>
        <v>18.7291666666667</v>
      </c>
    </row>
    <row r="26" customFormat="false" ht="15" hidden="false" customHeight="false" outlineLevel="0" collapsed="false">
      <c r="A26" s="10"/>
      <c r="B26" s="11"/>
      <c r="C26" s="11"/>
      <c r="D26" s="11"/>
      <c r="E26" s="12"/>
      <c r="F26" s="13" t="str">
        <f aca="false">IF(AND(B26&lt;&gt;"",D26&lt;&gt;"",D26&lt;&gt;0),(B26/D26)*E26,"")</f>
        <v/>
      </c>
      <c r="G26" s="14" t="str">
        <f aca="false">IF(A26&lt;&gt;"",$C$7,"")</f>
        <v/>
      </c>
      <c r="H26" s="13" t="str">
        <f aca="false">IF(F26&lt;&gt;"",F26*G26,"")</f>
        <v/>
      </c>
    </row>
    <row r="27" customFormat="false" ht="15" hidden="false" customHeight="false" outlineLevel="0" collapsed="false">
      <c r="A27" s="8"/>
      <c r="B27" s="15"/>
      <c r="C27" s="15"/>
      <c r="D27" s="15"/>
      <c r="E27" s="16"/>
      <c r="F27" s="17" t="str">
        <f aca="false">IF(AND(B27&lt;&gt;"",D27&lt;&gt;"",D27&lt;&gt;0),(B27/D27)*E27,"")</f>
        <v/>
      </c>
      <c r="G27" s="18" t="str">
        <f aca="false">IF(A27&lt;&gt;"",$C$7,"")</f>
        <v/>
      </c>
      <c r="H27" s="17" t="str">
        <f aca="false">IF(F27&lt;&gt;"",F27*G27,"")</f>
        <v/>
      </c>
    </row>
    <row r="28" customFormat="false" ht="15" hidden="false" customHeight="false" outlineLevel="0" collapsed="false">
      <c r="A28" s="19" t="s">
        <v>34</v>
      </c>
      <c r="B28" s="20"/>
      <c r="C28" s="20"/>
      <c r="D28" s="20"/>
      <c r="E28" s="20"/>
      <c r="F28" s="20"/>
      <c r="G28" s="20"/>
      <c r="H28" s="21" t="n">
        <f aca="false">SUM(H22:H27)</f>
        <v>80.3835416666667</v>
      </c>
    </row>
    <row r="30" customFormat="false" ht="15" hidden="false" customHeight="true" outlineLevel="0" collapsed="false">
      <c r="A30" s="4" t="s">
        <v>35</v>
      </c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9" t="s">
        <v>9</v>
      </c>
      <c r="B31" s="9" t="s">
        <v>10</v>
      </c>
      <c r="C31" s="9" t="s">
        <v>11</v>
      </c>
      <c r="D31" s="9" t="s">
        <v>12</v>
      </c>
      <c r="E31" s="9" t="s">
        <v>13</v>
      </c>
      <c r="F31" s="9" t="s">
        <v>14</v>
      </c>
      <c r="G31" s="9" t="s">
        <v>15</v>
      </c>
      <c r="H31" s="9" t="s">
        <v>16</v>
      </c>
    </row>
    <row r="32" customFormat="false" ht="15" hidden="false" customHeight="false" outlineLevel="0" collapsed="false">
      <c r="A32" s="10" t="s">
        <v>36</v>
      </c>
      <c r="B32" s="11" t="s">
        <v>37</v>
      </c>
      <c r="C32" s="11" t="s">
        <v>38</v>
      </c>
      <c r="D32" s="11" t="n">
        <v>48</v>
      </c>
      <c r="E32" s="12" t="n">
        <v>12.99</v>
      </c>
      <c r="F32" s="13" t="n">
        <f aca="false">IF(AND(B32&lt;&gt;"",D32&lt;&gt;"",D32&lt;&gt;0),(B32/D32)*E32,"")</f>
        <v>0.54125</v>
      </c>
      <c r="G32" s="14" t="n">
        <f aca="false">IF(A32&lt;&gt;"",$C$7,"")</f>
        <v>100</v>
      </c>
      <c r="H32" s="13" t="n">
        <f aca="false">IF(F32&lt;&gt;"",F32*G32,"")</f>
        <v>54.125</v>
      </c>
    </row>
    <row r="33" customFormat="false" ht="15" hidden="false" customHeight="false" outlineLevel="0" collapsed="false">
      <c r="A33" s="8" t="s">
        <v>39</v>
      </c>
      <c r="B33" s="15" t="s">
        <v>40</v>
      </c>
      <c r="C33" s="15" t="s">
        <v>19</v>
      </c>
      <c r="D33" s="15" t="n">
        <v>240</v>
      </c>
      <c r="E33" s="16" t="n">
        <v>16.99</v>
      </c>
      <c r="F33" s="17" t="n">
        <f aca="false">IF(AND(B33&lt;&gt;"",D33&lt;&gt;"",D33&lt;&gt;0),(B33/D33)*E33,"")</f>
        <v>0.212375</v>
      </c>
      <c r="G33" s="18" t="n">
        <f aca="false">IF(A33&lt;&gt;"",$C$7,"")</f>
        <v>100</v>
      </c>
      <c r="H33" s="17" t="n">
        <f aca="false">IF(F33&lt;&gt;"",F33*G33,"")</f>
        <v>21.2375</v>
      </c>
    </row>
    <row r="34" customFormat="false" ht="15" hidden="false" customHeight="false" outlineLevel="0" collapsed="false">
      <c r="A34" s="10"/>
      <c r="B34" s="11"/>
      <c r="C34" s="11"/>
      <c r="D34" s="11"/>
      <c r="E34" s="12"/>
      <c r="F34" s="13" t="str">
        <f aca="false">IF(AND(B34&lt;&gt;"",D34&lt;&gt;"",D34&lt;&gt;0),(B34/D34)*E34,"")</f>
        <v/>
      </c>
      <c r="G34" s="14" t="str">
        <f aca="false">IF(A34&lt;&gt;"",$C$7,"")</f>
        <v/>
      </c>
      <c r="H34" s="13" t="str">
        <f aca="false">IF(F34&lt;&gt;"",F34*G34,"")</f>
        <v/>
      </c>
    </row>
    <row r="35" customFormat="false" ht="15" hidden="false" customHeight="false" outlineLevel="0" collapsed="false">
      <c r="A35" s="8"/>
      <c r="B35" s="15"/>
      <c r="C35" s="15"/>
      <c r="D35" s="15"/>
      <c r="E35" s="16"/>
      <c r="F35" s="17" t="str">
        <f aca="false">IF(AND(B35&lt;&gt;"",D35&lt;&gt;"",D35&lt;&gt;0),(B35/D35)*E35,"")</f>
        <v/>
      </c>
      <c r="G35" s="18" t="str">
        <f aca="false">IF(A35&lt;&gt;"",$C$7,"")</f>
        <v/>
      </c>
      <c r="H35" s="17" t="str">
        <f aca="false">IF(F35&lt;&gt;"",F35*G35,"")</f>
        <v/>
      </c>
    </row>
    <row r="36" customFormat="false" ht="15" hidden="false" customHeight="false" outlineLevel="0" collapsed="false">
      <c r="A36" s="19" t="s">
        <v>41</v>
      </c>
      <c r="B36" s="20"/>
      <c r="C36" s="20"/>
      <c r="D36" s="20"/>
      <c r="E36" s="20"/>
      <c r="F36" s="20"/>
      <c r="G36" s="20"/>
      <c r="H36" s="21" t="n">
        <f aca="false">SUM(H32:H35)</f>
        <v>75.3625</v>
      </c>
    </row>
    <row r="38" customFormat="false" ht="15" hidden="false" customHeight="true" outlineLevel="0" collapsed="false">
      <c r="A38" s="4" t="s">
        <v>42</v>
      </c>
      <c r="B38" s="4"/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A39" s="9" t="s">
        <v>9</v>
      </c>
      <c r="B39" s="9" t="s">
        <v>10</v>
      </c>
      <c r="C39" s="9" t="s">
        <v>11</v>
      </c>
      <c r="D39" s="9" t="s">
        <v>12</v>
      </c>
      <c r="E39" s="9" t="s">
        <v>13</v>
      </c>
      <c r="F39" s="9" t="s">
        <v>14</v>
      </c>
      <c r="G39" s="9" t="s">
        <v>15</v>
      </c>
      <c r="H39" s="9" t="s">
        <v>16</v>
      </c>
    </row>
    <row r="40" customFormat="false" ht="15" hidden="false" customHeight="false" outlineLevel="0" collapsed="false">
      <c r="A40" s="10" t="s">
        <v>43</v>
      </c>
      <c r="B40" s="11" t="s">
        <v>44</v>
      </c>
      <c r="C40" s="11" t="s">
        <v>33</v>
      </c>
      <c r="D40" s="11" t="n">
        <v>24</v>
      </c>
      <c r="E40" s="12" t="n">
        <v>18.99</v>
      </c>
      <c r="F40" s="13" t="n">
        <f aca="false">IF(AND(B40&lt;&gt;"",D40&lt;&gt;"",D40&lt;&gt;0),(B40/D40)*E40,"")</f>
        <v>0.79125</v>
      </c>
      <c r="G40" s="14" t="n">
        <f aca="false">IF(A40&lt;&gt;"",$C$7,"")</f>
        <v>100</v>
      </c>
      <c r="H40" s="13" t="n">
        <f aca="false">IF(F40&lt;&gt;"",F40*G40,"")</f>
        <v>79.125</v>
      </c>
    </row>
    <row r="41" customFormat="false" ht="15" hidden="false" customHeight="false" outlineLevel="0" collapsed="false">
      <c r="A41" s="8" t="s">
        <v>45</v>
      </c>
      <c r="B41" s="15" t="s">
        <v>46</v>
      </c>
      <c r="C41" s="15" t="s">
        <v>47</v>
      </c>
      <c r="D41" s="15" t="n">
        <v>1</v>
      </c>
      <c r="E41" s="16" t="n">
        <v>3.49</v>
      </c>
      <c r="F41" s="17" t="n">
        <f aca="false">IF(AND(B41&lt;&gt;"",D41&lt;&gt;"",D41&lt;&gt;0),(B41/D41)*E41,"")</f>
        <v>0.5235</v>
      </c>
      <c r="G41" s="18" t="n">
        <f aca="false">IF(A41&lt;&gt;"",$C$7,"")</f>
        <v>100</v>
      </c>
      <c r="H41" s="17" t="n">
        <f aca="false">IF(F41&lt;&gt;"",F41*G41,"")</f>
        <v>52.35</v>
      </c>
    </row>
    <row r="42" customFormat="false" ht="15" hidden="false" customHeight="false" outlineLevel="0" collapsed="false">
      <c r="A42" s="10" t="s">
        <v>48</v>
      </c>
      <c r="B42" s="11" t="s">
        <v>44</v>
      </c>
      <c r="C42" s="11" t="s">
        <v>49</v>
      </c>
      <c r="D42" s="11" t="n">
        <v>100</v>
      </c>
      <c r="E42" s="12" t="n">
        <v>12.99</v>
      </c>
      <c r="F42" s="13" t="n">
        <f aca="false">IF(AND(B42&lt;&gt;"",D42&lt;&gt;"",D42&lt;&gt;0),(B42/D42)*E42,"")</f>
        <v>0.1299</v>
      </c>
      <c r="G42" s="14" t="n">
        <f aca="false">IF(A42&lt;&gt;"",$C$7,"")</f>
        <v>100</v>
      </c>
      <c r="H42" s="13" t="n">
        <f aca="false">IF(F42&lt;&gt;"",F42*G42,"")</f>
        <v>12.99</v>
      </c>
    </row>
    <row r="43" customFormat="false" ht="15" hidden="false" customHeight="false" outlineLevel="0" collapsed="false">
      <c r="A43" s="8" t="s">
        <v>50</v>
      </c>
      <c r="B43" s="15" t="s">
        <v>44</v>
      </c>
      <c r="C43" s="15" t="s">
        <v>51</v>
      </c>
      <c r="D43" s="15" t="n">
        <v>100</v>
      </c>
      <c r="E43" s="16" t="n">
        <v>8.99</v>
      </c>
      <c r="F43" s="17" t="n">
        <f aca="false">IF(AND(B43&lt;&gt;"",D43&lt;&gt;"",D43&lt;&gt;0),(B43/D43)*E43,"")</f>
        <v>0.0899</v>
      </c>
      <c r="G43" s="18" t="n">
        <f aca="false">IF(A43&lt;&gt;"",$C$7,"")</f>
        <v>100</v>
      </c>
      <c r="H43" s="17" t="n">
        <f aca="false">IF(F43&lt;&gt;"",F43*G43,"")</f>
        <v>8.99</v>
      </c>
    </row>
    <row r="44" customFormat="false" ht="23.85" hidden="false" customHeight="false" outlineLevel="0" collapsed="false">
      <c r="A44" s="10" t="s">
        <v>52</v>
      </c>
      <c r="B44" s="11" t="s">
        <v>44</v>
      </c>
      <c r="C44" s="11" t="s">
        <v>51</v>
      </c>
      <c r="D44" s="11" t="n">
        <v>100</v>
      </c>
      <c r="E44" s="12" t="n">
        <v>22.99</v>
      </c>
      <c r="F44" s="13" t="n">
        <f aca="false">IF(AND(B44&lt;&gt;"",D44&lt;&gt;"",D44&lt;&gt;0),(B44/D44)*E44,"")</f>
        <v>0.2299</v>
      </c>
      <c r="G44" s="14" t="n">
        <f aca="false">IF(A44&lt;&gt;"",$C$7,"")</f>
        <v>100</v>
      </c>
      <c r="H44" s="13" t="n">
        <f aca="false">IF(F44&lt;&gt;"",F44*G44,"")</f>
        <v>22.99</v>
      </c>
    </row>
    <row r="45" customFormat="false" ht="15" hidden="false" customHeight="false" outlineLevel="0" collapsed="false">
      <c r="A45" s="8" t="s">
        <v>53</v>
      </c>
      <c r="B45" s="15" t="s">
        <v>44</v>
      </c>
      <c r="C45" s="15" t="s">
        <v>51</v>
      </c>
      <c r="D45" s="15" t="n">
        <v>1</v>
      </c>
      <c r="E45" s="16" t="n">
        <v>8.99</v>
      </c>
      <c r="F45" s="17" t="n">
        <f aca="false">IF(AND(B45&lt;&gt;"",D45&lt;&gt;"",D45&lt;&gt;0),(B45/D45)*E45,"")</f>
        <v>8.99</v>
      </c>
      <c r="G45" s="18" t="n">
        <f aca="false">IF(A45&lt;&gt;"",$C$7,"")</f>
        <v>100</v>
      </c>
      <c r="H45" s="17" t="n">
        <f aca="false">IF(F45&lt;&gt;"",F45*G45,"")</f>
        <v>899</v>
      </c>
    </row>
    <row r="46" customFormat="false" ht="15" hidden="false" customHeight="false" outlineLevel="0" collapsed="false">
      <c r="A46" s="10"/>
      <c r="B46" s="11"/>
      <c r="C46" s="11"/>
      <c r="D46" s="11"/>
      <c r="E46" s="12"/>
      <c r="F46" s="13" t="str">
        <f aca="false">IF(AND(B46&lt;&gt;"",D46&lt;&gt;"",D46&lt;&gt;0),(B46/D46)*E46,"")</f>
        <v/>
      </c>
      <c r="G46" s="14" t="str">
        <f aca="false">IF(A46&lt;&gt;"",$C$7,"")</f>
        <v/>
      </c>
      <c r="H46" s="13" t="str">
        <f aca="false">IF(F46&lt;&gt;"",F46*G46,"")</f>
        <v/>
      </c>
    </row>
    <row r="47" customFormat="false" ht="15" hidden="false" customHeight="false" outlineLevel="0" collapsed="false">
      <c r="A47" s="8"/>
      <c r="B47" s="15"/>
      <c r="C47" s="15"/>
      <c r="D47" s="15"/>
      <c r="E47" s="16"/>
      <c r="F47" s="17" t="str">
        <f aca="false">IF(AND(B47&lt;&gt;"",D47&lt;&gt;"",D47&lt;&gt;0),(B47/D47)*E47,"")</f>
        <v/>
      </c>
      <c r="G47" s="18" t="str">
        <f aca="false">IF(A47&lt;&gt;"",$C$7,"")</f>
        <v/>
      </c>
      <c r="H47" s="17" t="str">
        <f aca="false">IF(F47&lt;&gt;"",F47*G47,"")</f>
        <v/>
      </c>
    </row>
    <row r="48" customFormat="false" ht="15" hidden="false" customHeight="false" outlineLevel="0" collapsed="false">
      <c r="A48" s="19" t="s">
        <v>54</v>
      </c>
      <c r="B48" s="20"/>
      <c r="C48" s="20"/>
      <c r="D48" s="20"/>
      <c r="E48" s="20"/>
      <c r="F48" s="20"/>
      <c r="G48" s="20"/>
      <c r="H48" s="21" t="n">
        <f aca="false">SUM(H40:H47)</f>
        <v>1075.445</v>
      </c>
    </row>
    <row r="50" customFormat="false" ht="15" hidden="false" customHeight="true" outlineLevel="0" collapsed="false">
      <c r="A50" s="4" t="s">
        <v>55</v>
      </c>
      <c r="B50" s="4"/>
      <c r="C50" s="4"/>
      <c r="D50" s="4"/>
      <c r="E50" s="4"/>
      <c r="F50" s="4"/>
      <c r="G50" s="4"/>
      <c r="H50" s="4"/>
    </row>
    <row r="51" customFormat="false" ht="15" hidden="false" customHeight="true" outlineLevel="0" collapsed="false">
      <c r="A51" s="5" t="s">
        <v>56</v>
      </c>
      <c r="B51" s="5"/>
      <c r="C51" s="5"/>
      <c r="D51" s="17" t="n">
        <f aca="false">H18</f>
        <v>418.984375</v>
      </c>
      <c r="E51" s="10"/>
      <c r="F51" s="10"/>
      <c r="G51" s="10"/>
      <c r="H51" s="10"/>
    </row>
    <row r="52" customFormat="false" ht="15" hidden="false" customHeight="true" outlineLevel="0" collapsed="false">
      <c r="A52" s="22" t="s">
        <v>57</v>
      </c>
      <c r="B52" s="22"/>
      <c r="C52" s="22"/>
      <c r="D52" s="17" t="n">
        <f aca="false">H28</f>
        <v>80.3835416666667</v>
      </c>
      <c r="E52" s="8"/>
      <c r="F52" s="8"/>
      <c r="G52" s="8"/>
      <c r="H52" s="8"/>
    </row>
    <row r="53" customFormat="false" ht="15" hidden="false" customHeight="true" outlineLevel="0" collapsed="false">
      <c r="A53" s="5" t="s">
        <v>58</v>
      </c>
      <c r="B53" s="5"/>
      <c r="C53" s="5"/>
      <c r="D53" s="17" t="n">
        <f aca="false">H36</f>
        <v>75.3625</v>
      </c>
      <c r="E53" s="10"/>
      <c r="F53" s="10"/>
      <c r="G53" s="10"/>
      <c r="H53" s="10"/>
    </row>
    <row r="54" customFormat="false" ht="15" hidden="false" customHeight="true" outlineLevel="0" collapsed="false">
      <c r="A54" s="22" t="s">
        <v>59</v>
      </c>
      <c r="B54" s="22"/>
      <c r="C54" s="22"/>
      <c r="D54" s="17" t="n">
        <f aca="false">H48</f>
        <v>1075.445</v>
      </c>
      <c r="E54" s="8"/>
      <c r="F54" s="8"/>
      <c r="G54" s="8"/>
      <c r="H54" s="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</row>
    <row r="56" customFormat="false" ht="15" hidden="false" customHeight="true" outlineLevel="0" collapsed="false">
      <c r="A56" s="23" t="s">
        <v>60</v>
      </c>
      <c r="B56" s="23"/>
      <c r="C56" s="23"/>
      <c r="D56" s="24" t="n">
        <f aca="false">D51+D52+D53+D54</f>
        <v>1650.17541666667</v>
      </c>
      <c r="E56" s="25"/>
      <c r="F56" s="25"/>
      <c r="G56" s="25"/>
      <c r="H56" s="25"/>
    </row>
    <row r="57" customFormat="false" ht="15" hidden="false" customHeight="true" outlineLevel="0" collapsed="false">
      <c r="A57" s="5" t="s">
        <v>61</v>
      </c>
      <c r="B57" s="5"/>
      <c r="C57" s="5"/>
      <c r="D57" s="26" t="n">
        <v>0.1</v>
      </c>
      <c r="E57" s="10"/>
      <c r="F57" s="10"/>
      <c r="G57" s="10"/>
      <c r="H57" s="10"/>
    </row>
    <row r="58" customFormat="false" ht="15" hidden="false" customHeight="true" outlineLevel="0" collapsed="false">
      <c r="A58" s="22" t="s">
        <v>62</v>
      </c>
      <c r="B58" s="22"/>
      <c r="C58" s="22"/>
      <c r="D58" s="17" t="n">
        <f aca="false">D56*D57</f>
        <v>165.017541666667</v>
      </c>
      <c r="E58" s="8"/>
      <c r="F58" s="8"/>
      <c r="G58" s="8"/>
      <c r="H58" s="8"/>
    </row>
    <row r="59" customFormat="false" ht="15" hidden="false" customHeight="true" outlineLevel="0" collapsed="false">
      <c r="A59" s="27" t="s">
        <v>63</v>
      </c>
      <c r="B59" s="27"/>
      <c r="C59" s="27"/>
      <c r="D59" s="28" t="n">
        <f aca="false">D56+D58</f>
        <v>1815.19295833333</v>
      </c>
      <c r="E59" s="29"/>
      <c r="F59" s="29"/>
      <c r="G59" s="29"/>
      <c r="H59" s="29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</row>
    <row r="61" customFormat="false" ht="15" hidden="false" customHeight="true" outlineLevel="0" collapsed="false">
      <c r="A61" s="30" t="s">
        <v>64</v>
      </c>
      <c r="B61" s="30"/>
      <c r="C61" s="30"/>
      <c r="D61" s="31" t="n">
        <f aca="false">IF($C$7&gt;0,D59/$C$7,0)</f>
        <v>18.1519295833333</v>
      </c>
      <c r="E61" s="32"/>
      <c r="F61" s="32"/>
      <c r="G61" s="32"/>
      <c r="H61" s="32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</row>
    <row r="63" customFormat="false" ht="15" hidden="false" customHeight="true" outlineLevel="0" collapsed="false">
      <c r="A63" s="5" t="s">
        <v>65</v>
      </c>
      <c r="B63" s="5"/>
      <c r="C63" s="5"/>
      <c r="D63" s="26" t="n">
        <v>0.3</v>
      </c>
      <c r="E63" s="10"/>
      <c r="F63" s="10"/>
      <c r="G63" s="10"/>
      <c r="H63" s="10"/>
    </row>
    <row r="64" customFormat="false" ht="15" hidden="false" customHeight="true" outlineLevel="0" collapsed="false">
      <c r="A64" s="30" t="s">
        <v>66</v>
      </c>
      <c r="B64" s="30"/>
      <c r="C64" s="30"/>
      <c r="D64" s="31" t="n">
        <f aca="false">IF(D63&gt;0,D61/D63,0)</f>
        <v>60.5064319444444</v>
      </c>
      <c r="E64" s="32"/>
      <c r="F64" s="32"/>
      <c r="G64" s="32"/>
      <c r="H64" s="32"/>
    </row>
    <row r="65" customFormat="false" ht="15" hidden="false" customHeight="true" outlineLevel="0" collapsed="false">
      <c r="A65" s="30" t="s">
        <v>67</v>
      </c>
      <c r="B65" s="30"/>
      <c r="C65" s="30"/>
      <c r="D65" s="33" t="n">
        <f aca="false">D64*$C$7</f>
        <v>6050.64319444444</v>
      </c>
      <c r="E65" s="32"/>
      <c r="F65" s="32"/>
      <c r="G65" s="32"/>
      <c r="H65" s="32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</row>
    <row r="67" customFormat="false" ht="15" hidden="false" customHeight="true" outlineLevel="0" collapsed="false">
      <c r="A67" s="34" t="s">
        <v>68</v>
      </c>
      <c r="B67" s="34"/>
      <c r="C67" s="34"/>
      <c r="D67" s="35"/>
      <c r="E67" s="36"/>
      <c r="F67" s="36"/>
      <c r="G67" s="36"/>
      <c r="H67" s="36"/>
    </row>
    <row r="68" customFormat="false" ht="15" hidden="false" customHeight="true" outlineLevel="0" collapsed="false">
      <c r="A68" s="34" t="s">
        <v>69</v>
      </c>
      <c r="B68" s="34"/>
      <c r="C68" s="34"/>
      <c r="D68" s="37" t="n">
        <f aca="false">D67*$C$7</f>
        <v>0</v>
      </c>
      <c r="E68" s="36"/>
      <c r="F68" s="36"/>
      <c r="G68" s="36"/>
      <c r="H68" s="36"/>
    </row>
    <row r="69" customFormat="false" ht="15" hidden="false" customHeight="true" outlineLevel="0" collapsed="false">
      <c r="A69" s="34" t="s">
        <v>70</v>
      </c>
      <c r="B69" s="34"/>
      <c r="C69" s="34"/>
      <c r="D69" s="38" t="n">
        <f aca="false">IF(D68&gt;0,D59/D68,0)</f>
        <v>0</v>
      </c>
      <c r="E69" s="36"/>
      <c r="F69" s="36"/>
      <c r="G69" s="36"/>
      <c r="H69" s="36"/>
    </row>
    <row r="70" customFormat="false" ht="15" hidden="false" customHeight="true" outlineLevel="0" collapsed="false">
      <c r="A70" s="34" t="s">
        <v>71</v>
      </c>
      <c r="B70" s="34"/>
      <c r="C70" s="34"/>
      <c r="D70" s="39" t="n">
        <f aca="false">D68-D59</f>
        <v>-1815.19295833333</v>
      </c>
      <c r="E70" s="36"/>
      <c r="F70" s="36"/>
      <c r="G70" s="36"/>
      <c r="H70" s="36"/>
    </row>
    <row r="71" customFormat="false" ht="15" hidden="false" customHeight="true" outlineLevel="0" collapsed="false">
      <c r="A71" s="34" t="s">
        <v>72</v>
      </c>
      <c r="B71" s="34"/>
      <c r="C71" s="34"/>
      <c r="D71" s="38" t="n">
        <f aca="false">IF(D68&gt;0,D70/D68,0)</f>
        <v>0</v>
      </c>
      <c r="E71" s="36"/>
      <c r="F71" s="36"/>
      <c r="G71" s="36"/>
      <c r="H71" s="36"/>
    </row>
    <row r="74" customFormat="false" ht="15" hidden="false" customHeight="true" outlineLevel="0" collapsed="false">
      <c r="A74" s="40" t="s">
        <v>73</v>
      </c>
      <c r="B74" s="40"/>
      <c r="C74" s="40"/>
      <c r="D74" s="40"/>
      <c r="E74" s="40"/>
      <c r="F74" s="40"/>
      <c r="G74" s="40"/>
      <c r="H74" s="40"/>
    </row>
  </sheetData>
  <mergeCells count="31">
    <mergeCell ref="A1:H1"/>
    <mergeCell ref="A2:H2"/>
    <mergeCell ref="A3:H3"/>
    <mergeCell ref="A5:H5"/>
    <mergeCell ref="A6:B6"/>
    <mergeCell ref="C6:H6"/>
    <mergeCell ref="A7:B7"/>
    <mergeCell ref="A8:B8"/>
    <mergeCell ref="A10:H10"/>
    <mergeCell ref="A20:H20"/>
    <mergeCell ref="A30:H30"/>
    <mergeCell ref="A38:H38"/>
    <mergeCell ref="A50:H50"/>
    <mergeCell ref="A51:C51"/>
    <mergeCell ref="A52:C52"/>
    <mergeCell ref="A53:C53"/>
    <mergeCell ref="A54:C54"/>
    <mergeCell ref="A56:C56"/>
    <mergeCell ref="A57:C57"/>
    <mergeCell ref="A58:C58"/>
    <mergeCell ref="A59:C59"/>
    <mergeCell ref="A61:C61"/>
    <mergeCell ref="A63:C63"/>
    <mergeCell ref="A64:C64"/>
    <mergeCell ref="A65:C65"/>
    <mergeCell ref="A67:C67"/>
    <mergeCell ref="A68:C68"/>
    <mergeCell ref="A69:C69"/>
    <mergeCell ref="A70:C70"/>
    <mergeCell ref="A71:C71"/>
    <mergeCell ref="A74:H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2026-03-15T18:12:55Z</dcterms:created>
  <dc:creator>openpyxl</dc:creator>
  <dc:description/>
  <dc:language>en-US</dc:language>
  <cp:lastModifiedBy/>
  <dcterms:modified xsi:type="dcterms:W3CDTF">2026-03-15T18:12:55Z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