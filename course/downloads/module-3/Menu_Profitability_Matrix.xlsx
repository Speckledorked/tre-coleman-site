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<sst xmlns="http://schemas.openxmlformats.org/spreadsheetml/2006/main" count="63" uniqueCount="59">
  <si>
    <t xml:space="preserve">MENU PROFITABILITY MATRIX</t>
  </si>
  <si>
    <t xml:space="preserve">The Catering Profit System  |  Module 3: Food Cost &amp; Menu Engineering  |  trecoleman.com</t>
  </si>
  <si>
    <t xml:space="preserve">Plot every menu item by profitability and popularity to decide what to keep, cut, re-price, or promote.</t>
  </si>
  <si>
    <t xml:space="preserve">TARGET BENCHMARKS (SET THESE FIRST)</t>
  </si>
  <si>
    <t xml:space="preserve">Target Food Cost %</t>
  </si>
  <si>
    <t xml:space="preserve">Industry standard: 28-35% for catering</t>
  </si>
  <si>
    <t xml:space="preserve">Minimum Profit Margin Per Item</t>
  </si>
  <si>
    <t xml:space="preserve">Below this = reprice or remove</t>
  </si>
  <si>
    <t xml:space="preserve">High Popularity Threshold (orders/month)</t>
  </si>
  <si>
    <t xml:space="preserve">Items ordered more than this = popular</t>
  </si>
  <si>
    <t xml:space="preserve">MENU ITEM ANALYSIS</t>
  </si>
  <si>
    <t xml:space="preserve">Menu Item</t>
  </si>
  <si>
    <t xml:space="preserve">Category</t>
  </si>
  <si>
    <t xml:space="preserve">Menu Price</t>
  </si>
  <si>
    <t xml:space="preserve">Food Cost</t>
  </si>
  <si>
    <t xml:space="preserve">Food Cost %</t>
  </si>
  <si>
    <t xml:space="preserve">Gross Profit</t>
  </si>
  <si>
    <t xml:space="preserve">Profit Margin %</t>
  </si>
  <si>
    <t xml:space="preserve">Orders/Month</t>
  </si>
  <si>
    <t xml:space="preserve">Classification</t>
  </si>
  <si>
    <t xml:space="preserve">Action</t>
  </si>
  <si>
    <t xml:space="preserve">Bruschetta Trio</t>
  </si>
  <si>
    <t xml:space="preserve">Appetizer</t>
  </si>
  <si>
    <t xml:space="preserve">Grilled Chicken Breast</t>
  </si>
  <si>
    <t xml:space="preserve">Entree</t>
  </si>
  <si>
    <t xml:space="preserve">Herb-Crusted Salmon</t>
  </si>
  <si>
    <t xml:space="preserve">BBQ Pulled Pork</t>
  </si>
  <si>
    <t xml:space="preserve">Roasted Seasonal Vegetables</t>
  </si>
  <si>
    <t xml:space="preserve">Side</t>
  </si>
  <si>
    <t xml:space="preserve">Mac &amp; Cheese</t>
  </si>
  <si>
    <t xml:space="preserve">Chocolate Lava Cake</t>
  </si>
  <si>
    <t xml:space="preserve">Dessert</t>
  </si>
  <si>
    <t xml:space="preserve">Fresh Lemonade (per gallon)</t>
  </si>
  <si>
    <t xml:space="preserve">Beverage</t>
  </si>
  <si>
    <t xml:space="preserve">PORTFOLIO SUMMARY</t>
  </si>
  <si>
    <t xml:space="preserve">Total Menu Items Analyzed</t>
  </si>
  <si>
    <t xml:space="preserve">Average Food Cost %</t>
  </si>
  <si>
    <t xml:space="preserve">Average Profit Margin %</t>
  </si>
  <si>
    <t xml:space="preserve">Items Above Target Food Cost</t>
  </si>
  <si>
    <t xml:space="preserve">Stars (High Profit + High Popularity)</t>
  </si>
  <si>
    <t xml:space="preserve">Plow Horses (Low Profit + High Popularity)</t>
  </si>
  <si>
    <t xml:space="preserve">Puzzles (High Profit + Low Popularity)</t>
  </si>
  <si>
    <t xml:space="preserve">Dogs (Low Profit + Low Popularity)</t>
  </si>
  <si>
    <t xml:space="preserve">MENU ENGINEERING CLASSIFICATION GUIDE</t>
  </si>
  <si>
    <t xml:space="preserve">Definition</t>
  </si>
  <si>
    <t xml:space="preserve">Action Plan</t>
  </si>
  <si>
    <t xml:space="preserve">STAR</t>
  </si>
  <si>
    <t xml:space="preserve">High profit + High popularity</t>
  </si>
  <si>
    <t xml:space="preserve">Your best items. Protect the recipe, promote heavily, feature prominently on menus. Don’t change what’s working.</t>
  </si>
  <si>
    <t xml:space="preserve">PLOW HORSE</t>
  </si>
  <si>
    <t xml:space="preserve">Low profit + High popularity</t>
  </si>
  <si>
    <t xml:space="preserve">Customers love these but they’re dragging your margins. Raise price 5-10%, reduce portion slightly, or substitute a cheaper ingredient without sacrificing taste.</t>
  </si>
  <si>
    <t xml:space="preserve">PUZZLE</t>
  </si>
  <si>
    <t xml:space="preserve">High profit + Low popularity</t>
  </si>
  <si>
    <t xml:space="preserve">Good margins but nobody orders them. Better positioning on the menu, server/staff recommendations, or pair with popular items. Give them 60-90 days.</t>
  </si>
  <si>
    <t xml:space="preserve">DOG</t>
  </si>
  <si>
    <t xml:space="preserve">Low profit + Low popularity</t>
  </si>
  <si>
    <t xml:space="preserve">Nobody wants them and you don’t make money on them. Cut them. Every dog on your menu takes attention away from a star.</t>
  </si>
  <si>
    <t xml:space="preserve">Want a full menu engineering analysis with custom recommendations? Book a Profit Leak Snapshot at trecoleman.com/profit-leak-snapshot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</si>
</sst>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\$#,##0.0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E8F5E9"/>
      </patternFill>
    </fill>
    <fill>
      <patternFill patternType="solid">
        <fgColor rgb="FFE0E0E0"/>
        <bgColor rgb="FFE3F2FD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8F5E9"/>
      </patternFill>
    </fill>
    <fill>
      <patternFill patternType="solid">
        <fgColor rgb="FFFFEBEE"/>
        <bgColor rgb="FFFFF3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4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5" t="s">
        <v>4</v>
      </c>
      <c r="B6" s="5"/>
      <c r="C6" s="5"/>
      <c r="D6" s="6" t="n">
        <v>0.3</v>
      </c>
      <c r="E6" s="7" t="s">
        <v>5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8" t="s">
        <v>6</v>
      </c>
      <c r="B7" s="8"/>
      <c r="C7" s="8"/>
      <c r="D7" s="9" t="n">
        <v>0.4</v>
      </c>
      <c r="E7" s="10" t="s">
        <v>7</v>
      </c>
      <c r="F7" s="10"/>
      <c r="G7" s="10"/>
      <c r="H7" s="10"/>
      <c r="I7" s="10"/>
      <c r="J7" s="10"/>
    </row>
    <row r="8" customFormat="false" ht="15" hidden="false" customHeight="true" outlineLevel="0" collapsed="false">
      <c r="A8" s="5" t="s">
        <v>8</v>
      </c>
      <c r="B8" s="5"/>
      <c r="C8" s="5"/>
      <c r="D8" s="11" t="n">
        <v>20</v>
      </c>
      <c r="E8" s="7" t="s">
        <v>9</v>
      </c>
      <c r="F8" s="7"/>
      <c r="G8" s="7"/>
      <c r="H8" s="7"/>
      <c r="I8" s="7"/>
      <c r="J8" s="7"/>
    </row>
    <row r="10" customFormat="false" ht="15" hidden="false" customHeight="true" outlineLevel="0" collapsed="false">
      <c r="A10" s="4" t="s">
        <v>10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26.85" hidden="false" customHeight="false" outlineLevel="0" collapsed="false">
      <c r="A11" s="12" t="s">
        <v>11</v>
      </c>
      <c r="B11" s="12" t="s">
        <v>12</v>
      </c>
      <c r="C11" s="12" t="s">
        <v>13</v>
      </c>
      <c r="D11" s="12" t="s">
        <v>14</v>
      </c>
      <c r="E11" s="12" t="s">
        <v>15</v>
      </c>
      <c r="F11" s="12" t="s">
        <v>16</v>
      </c>
      <c r="G11" s="12" t="s">
        <v>17</v>
      </c>
      <c r="H11" s="12" t="s">
        <v>18</v>
      </c>
      <c r="I11" s="12" t="s">
        <v>19</v>
      </c>
      <c r="J11" s="12" t="s">
        <v>20</v>
      </c>
    </row>
    <row r="12" customFormat="false" ht="15" hidden="false" customHeight="false" outlineLevel="0" collapsed="false">
      <c r="A12" s="13" t="s">
        <v>21</v>
      </c>
      <c r="B12" s="14" t="s">
        <v>22</v>
      </c>
      <c r="C12" s="15" t="n">
        <v>8</v>
      </c>
      <c r="D12" s="15" t="n">
        <v>2.4</v>
      </c>
      <c r="E12" s="16" t="n">
        <f aca="false">IF(C12&gt;0,D12/C12,"")</f>
        <v>0.3</v>
      </c>
      <c r="F12" s="17" t="n">
        <f aca="false">IF(C12&gt;0,C12-D12,"")</f>
        <v>5.6</v>
      </c>
      <c r="G12" s="16" t="n">
        <f aca="false">IF(C12&gt;0,F12/C12,"")</f>
        <v>0.7</v>
      </c>
      <c r="H12" s="11" t="n">
        <v>25</v>
      </c>
      <c r="I12" s="18" t="str">
        <f aca="false">IF(OR(C12="",C12=0),"",IF(AND(G12&gt;=$D$7,H12&gt;=$D$8),"STAR",IF(AND(G12&lt;$D$7,H12&gt;=$D$8),"PLOW HORSE",IF(AND(G12&gt;=$D$7,H12&lt;$D$8),"PUZZLE","DOG"))))</f>
        <v>STAR</v>
      </c>
      <c r="J12" s="7" t="str">
        <f aca="false">IF(I12="STAR","Promote &amp; protect pricing",IF(I12="PLOW HORSE","Raise price or reduce portion",IF(I12="PUZZLE","Increase visibility &amp; marketing",IF(I12="DOG","Cut or completely reimagine",""))))</f>
        <v>Promote &amp; protect pricing</v>
      </c>
    </row>
    <row r="13" customFormat="false" ht="15" hidden="false" customHeight="false" outlineLevel="0" collapsed="false">
      <c r="A13" s="19" t="s">
        <v>23</v>
      </c>
      <c r="B13" s="20" t="s">
        <v>24</v>
      </c>
      <c r="C13" s="21" t="n">
        <v>16</v>
      </c>
      <c r="D13" s="21" t="n">
        <v>4.8</v>
      </c>
      <c r="E13" s="22" t="n">
        <f aca="false">IF(C13&gt;0,D13/C13,"")</f>
        <v>0.3</v>
      </c>
      <c r="F13" s="23" t="n">
        <f aca="false">IF(C13&gt;0,C13-D13,"")</f>
        <v>11.2</v>
      </c>
      <c r="G13" s="22" t="n">
        <f aca="false">IF(C13&gt;0,F13/C13,"")</f>
        <v>0.7</v>
      </c>
      <c r="H13" s="24" t="n">
        <v>35</v>
      </c>
      <c r="I13" s="25" t="str">
        <f aca="false">IF(OR(C13="",C13=0),"",IF(AND(G13&gt;=$D$7,H13&gt;=$D$8),"STAR",IF(AND(G13&lt;$D$7,H13&gt;=$D$8),"PLOW HORSE",IF(AND(G13&gt;=$D$7,H13&lt;$D$8),"PUZZLE","DOG"))))</f>
        <v>STAR</v>
      </c>
      <c r="J13" s="10" t="str">
        <f aca="false">IF(I13="STAR","Promote &amp; protect pricing",IF(I13="PLOW HORSE","Raise price or reduce portion",IF(I13="PUZZLE","Increase visibility &amp; marketing",IF(I13="DOG","Cut or completely reimagine",""))))</f>
        <v>Promote &amp; protect pricing</v>
      </c>
    </row>
    <row r="14" customFormat="false" ht="22.35" hidden="false" customHeight="false" outlineLevel="0" collapsed="false">
      <c r="A14" s="13" t="s">
        <v>25</v>
      </c>
      <c r="B14" s="14" t="s">
        <v>24</v>
      </c>
      <c r="C14" s="15" t="n">
        <v>22</v>
      </c>
      <c r="D14" s="15" t="n">
        <v>9.9</v>
      </c>
      <c r="E14" s="16" t="n">
        <f aca="false">IF(C14&gt;0,D14/C14,"")</f>
        <v>0.45</v>
      </c>
      <c r="F14" s="17" t="n">
        <f aca="false">IF(C14&gt;0,C14-D14,"")</f>
        <v>12.1</v>
      </c>
      <c r="G14" s="16" t="n">
        <f aca="false">IF(C14&gt;0,F14/C14,"")</f>
        <v>0.55</v>
      </c>
      <c r="H14" s="11" t="n">
        <v>18</v>
      </c>
      <c r="I14" s="18" t="str">
        <f aca="false">IF(OR(C14="",C14=0),"",IF(AND(G14&gt;=$D$7,H14&gt;=$D$8),"STAR",IF(AND(G14&lt;$D$7,H14&gt;=$D$8),"PLOW HORSE",IF(AND(G14&gt;=$D$7,H14&lt;$D$8),"PUZZLE","DOG"))))</f>
        <v>PUZZLE</v>
      </c>
      <c r="J14" s="7" t="str">
        <f aca="false">IF(I14="STAR","Promote &amp; protect pricing",IF(I14="PLOW HORSE","Raise price or reduce portion",IF(I14="PUZZLE","Increase visibility &amp; marketing",IF(I14="DOG","Cut or completely reimagine",""))))</f>
        <v>Increase visibility &amp; marketing</v>
      </c>
    </row>
    <row r="15" customFormat="false" ht="15" hidden="false" customHeight="false" outlineLevel="0" collapsed="false">
      <c r="A15" s="19" t="s">
        <v>26</v>
      </c>
      <c r="B15" s="20" t="s">
        <v>24</v>
      </c>
      <c r="C15" s="21" t="n">
        <v>14</v>
      </c>
      <c r="D15" s="21" t="n">
        <v>3.5</v>
      </c>
      <c r="E15" s="22" t="n">
        <f aca="false">IF(C15&gt;0,D15/C15,"")</f>
        <v>0.25</v>
      </c>
      <c r="F15" s="23" t="n">
        <f aca="false">IF(C15&gt;0,C15-D15,"")</f>
        <v>10.5</v>
      </c>
      <c r="G15" s="22" t="n">
        <f aca="false">IF(C15&gt;0,F15/C15,"")</f>
        <v>0.75</v>
      </c>
      <c r="H15" s="24" t="n">
        <v>40</v>
      </c>
      <c r="I15" s="25" t="str">
        <f aca="false">IF(OR(C15="",C15=0),"",IF(AND(G15&gt;=$D$7,H15&gt;=$D$8),"STAR",IF(AND(G15&lt;$D$7,H15&gt;=$D$8),"PLOW HORSE",IF(AND(G15&gt;=$D$7,H15&lt;$D$8),"PUZZLE","DOG"))))</f>
        <v>STAR</v>
      </c>
      <c r="J15" s="10" t="str">
        <f aca="false">IF(I15="STAR","Promote &amp; protect pricing",IF(I15="PLOW HORSE","Raise price or reduce portion",IF(I15="PUZZLE","Increase visibility &amp; marketing",IF(I15="DOG","Cut or completely reimagine",""))))</f>
        <v>Promote &amp; protect pricing</v>
      </c>
    </row>
    <row r="16" customFormat="false" ht="15" hidden="false" customHeight="false" outlineLevel="0" collapsed="false">
      <c r="A16" s="13" t="s">
        <v>27</v>
      </c>
      <c r="B16" s="14" t="s">
        <v>28</v>
      </c>
      <c r="C16" s="15" t="n">
        <v>6</v>
      </c>
      <c r="D16" s="15" t="n">
        <v>1.8</v>
      </c>
      <c r="E16" s="16" t="n">
        <f aca="false">IF(C16&gt;0,D16/C16,"")</f>
        <v>0.3</v>
      </c>
      <c r="F16" s="17" t="n">
        <f aca="false">IF(C16&gt;0,C16-D16,"")</f>
        <v>4.2</v>
      </c>
      <c r="G16" s="16" t="n">
        <f aca="false">IF(C16&gt;0,F16/C16,"")</f>
        <v>0.7</v>
      </c>
      <c r="H16" s="11" t="n">
        <v>30</v>
      </c>
      <c r="I16" s="18" t="str">
        <f aca="false">IF(OR(C16="",C16=0),"",IF(AND(G16&gt;=$D$7,H16&gt;=$D$8),"STAR",IF(AND(G16&lt;$D$7,H16&gt;=$D$8),"PLOW HORSE",IF(AND(G16&gt;=$D$7,H16&lt;$D$8),"PUZZLE","DOG"))))</f>
        <v>STAR</v>
      </c>
      <c r="J16" s="7" t="str">
        <f aca="false">IF(I16="STAR","Promote &amp; protect pricing",IF(I16="PLOW HORSE","Raise price or reduce portion",IF(I16="PUZZLE","Increase visibility &amp; marketing",IF(I16="DOG","Cut or completely reimagine",""))))</f>
        <v>Promote &amp; protect pricing</v>
      </c>
    </row>
    <row r="17" customFormat="false" ht="15" hidden="false" customHeight="false" outlineLevel="0" collapsed="false">
      <c r="A17" s="19" t="s">
        <v>29</v>
      </c>
      <c r="B17" s="20" t="s">
        <v>28</v>
      </c>
      <c r="C17" s="21" t="n">
        <v>7</v>
      </c>
      <c r="D17" s="21" t="n">
        <v>1.75</v>
      </c>
      <c r="E17" s="22" t="n">
        <f aca="false">IF(C17&gt;0,D17/C17,"")</f>
        <v>0.25</v>
      </c>
      <c r="F17" s="23" t="n">
        <f aca="false">IF(C17&gt;0,C17-D17,"")</f>
        <v>5.25</v>
      </c>
      <c r="G17" s="22" t="n">
        <f aca="false">IF(C17&gt;0,F17/C17,"")</f>
        <v>0.75</v>
      </c>
      <c r="H17" s="24" t="n">
        <v>45</v>
      </c>
      <c r="I17" s="25" t="str">
        <f aca="false">IF(OR(C17="",C17=0),"",IF(AND(G17&gt;=$D$7,H17&gt;=$D$8),"STAR",IF(AND(G17&lt;$D$7,H17&gt;=$D$8),"PLOW HORSE",IF(AND(G17&gt;=$D$7,H17&lt;$D$8),"PUZZLE","DOG"))))</f>
        <v>STAR</v>
      </c>
      <c r="J17" s="10" t="str">
        <f aca="false">IF(I17="STAR","Promote &amp; protect pricing",IF(I17="PLOW HORSE","Raise price or reduce portion",IF(I17="PUZZLE","Increase visibility &amp; marketing",IF(I17="DOG","Cut or completely reimagine",""))))</f>
        <v>Promote &amp; protect pricing</v>
      </c>
    </row>
    <row r="18" customFormat="false" ht="15" hidden="false" customHeight="false" outlineLevel="0" collapsed="false">
      <c r="A18" s="13" t="s">
        <v>30</v>
      </c>
      <c r="B18" s="14" t="s">
        <v>31</v>
      </c>
      <c r="C18" s="15" t="n">
        <v>8</v>
      </c>
      <c r="D18" s="15" t="n">
        <v>2.8</v>
      </c>
      <c r="E18" s="16" t="n">
        <f aca="false">IF(C18&gt;0,D18/C18,"")</f>
        <v>0.35</v>
      </c>
      <c r="F18" s="17" t="n">
        <f aca="false">IF(C18&gt;0,C18-D18,"")</f>
        <v>5.2</v>
      </c>
      <c r="G18" s="16" t="n">
        <f aca="false">IF(C18&gt;0,F18/C18,"")</f>
        <v>0.65</v>
      </c>
      <c r="H18" s="11" t="n">
        <v>22</v>
      </c>
      <c r="I18" s="18" t="str">
        <f aca="false">IF(OR(C18="",C18=0),"",IF(AND(G18&gt;=$D$7,H18&gt;=$D$8),"STAR",IF(AND(G18&lt;$D$7,H18&gt;=$D$8),"PLOW HORSE",IF(AND(G18&gt;=$D$7,H18&lt;$D$8),"PUZZLE","DOG"))))</f>
        <v>STAR</v>
      </c>
      <c r="J18" s="7" t="str">
        <f aca="false">IF(I18="STAR","Promote &amp; protect pricing",IF(I18="PLOW HORSE","Raise price or reduce portion",IF(I18="PUZZLE","Increase visibility &amp; marketing",IF(I18="DOG","Cut or completely reimagine",""))))</f>
        <v>Promote &amp; protect pricing</v>
      </c>
    </row>
    <row r="19" customFormat="false" ht="15" hidden="false" customHeight="false" outlineLevel="0" collapsed="false">
      <c r="A19" s="19" t="s">
        <v>32</v>
      </c>
      <c r="B19" s="20" t="s">
        <v>33</v>
      </c>
      <c r="C19" s="21" t="n">
        <v>12</v>
      </c>
      <c r="D19" s="21" t="n">
        <v>2.4</v>
      </c>
      <c r="E19" s="22" t="n">
        <f aca="false">IF(C19&gt;0,D19/C19,"")</f>
        <v>0.2</v>
      </c>
      <c r="F19" s="23" t="n">
        <f aca="false">IF(C19&gt;0,C19-D19,"")</f>
        <v>9.6</v>
      </c>
      <c r="G19" s="22" t="n">
        <f aca="false">IF(C19&gt;0,F19/C19,"")</f>
        <v>0.8</v>
      </c>
      <c r="H19" s="24" t="n">
        <v>28</v>
      </c>
      <c r="I19" s="25" t="str">
        <f aca="false">IF(OR(C19="",C19=0),"",IF(AND(G19&gt;=$D$7,H19&gt;=$D$8),"STAR",IF(AND(G19&lt;$D$7,H19&gt;=$D$8),"PLOW HORSE",IF(AND(G19&gt;=$D$7,H19&lt;$D$8),"PUZZLE","DOG"))))</f>
        <v>STAR</v>
      </c>
      <c r="J19" s="10" t="str">
        <f aca="false">IF(I19="STAR","Promote &amp; protect pricing",IF(I19="PLOW HORSE","Raise price or reduce portion",IF(I19="PUZZLE","Increase visibility &amp; marketing",IF(I19="DOG","Cut or completely reimagine",""))))</f>
        <v>Promote &amp; protect pricing</v>
      </c>
    </row>
    <row r="20" customFormat="false" ht="15" hidden="false" customHeight="false" outlineLevel="0" collapsed="false">
      <c r="A20" s="26"/>
      <c r="B20" s="27"/>
      <c r="C20" s="15"/>
      <c r="D20" s="15"/>
      <c r="E20" s="16" t="str">
        <f aca="false">IF(C20&gt;0,D20/C20,"")</f>
        <v/>
      </c>
      <c r="F20" s="17" t="str">
        <f aca="false">IF(C20&gt;0,C20-D20,"")</f>
        <v/>
      </c>
      <c r="G20" s="16" t="str">
        <f aca="false">IF(C20&gt;0,F20/C20,"")</f>
        <v/>
      </c>
      <c r="H20" s="11"/>
      <c r="I20" s="18" t="str">
        <f aca="false">IF(OR(C20="",C20=0),"",IF(AND(G20&gt;=$D$7,H20&gt;=$D$8),"STAR",IF(AND(G20&lt;$D$7,H20&gt;=$D$8),"PLOW HORSE",IF(AND(G20&gt;=$D$7,H20&lt;$D$8),"PUZZLE","DOG"))))</f>
        <v/>
      </c>
      <c r="J20" s="7" t="str">
        <f aca="false">IF(I20="STAR","Promote &amp; protect pricing",IF(I20="PLOW HORSE","Raise price or reduce portion",IF(I20="PUZZLE","Increase visibility &amp; marketing",IF(I20="DOG","Cut or completely reimagine",""))))</f>
        <v/>
      </c>
    </row>
    <row r="21" customFormat="false" ht="15" hidden="false" customHeight="false" outlineLevel="0" collapsed="false">
      <c r="A21" s="28"/>
      <c r="B21" s="29"/>
      <c r="C21" s="21"/>
      <c r="D21" s="21"/>
      <c r="E21" s="22" t="str">
        <f aca="false">IF(C21&gt;0,D21/C21,"")</f>
        <v/>
      </c>
      <c r="F21" s="23" t="str">
        <f aca="false">IF(C21&gt;0,C21-D21,"")</f>
        <v/>
      </c>
      <c r="G21" s="22" t="str">
        <f aca="false">IF(C21&gt;0,F21/C21,"")</f>
        <v/>
      </c>
      <c r="H21" s="24"/>
      <c r="I21" s="25" t="str">
        <f aca="false">IF(OR(C21="",C21=0),"",IF(AND(G21&gt;=$D$7,H21&gt;=$D$8),"STAR",IF(AND(G21&lt;$D$7,H21&gt;=$D$8),"PLOW HORSE",IF(AND(G21&gt;=$D$7,H21&lt;$D$8),"PUZZLE","DOG"))))</f>
        <v/>
      </c>
      <c r="J21" s="10" t="str">
        <f aca="false">IF(I21="STAR","Promote &amp; protect pricing",IF(I21="PLOW HORSE","Raise price or reduce portion",IF(I21="PUZZLE","Increase visibility &amp; marketing",IF(I21="DOG","Cut or completely reimagine",""))))</f>
        <v/>
      </c>
    </row>
    <row r="22" customFormat="false" ht="15" hidden="false" customHeight="false" outlineLevel="0" collapsed="false">
      <c r="A22" s="26"/>
      <c r="B22" s="27"/>
      <c r="C22" s="15"/>
      <c r="D22" s="15"/>
      <c r="E22" s="16" t="str">
        <f aca="false">IF(C22&gt;0,D22/C22,"")</f>
        <v/>
      </c>
      <c r="F22" s="17" t="str">
        <f aca="false">IF(C22&gt;0,C22-D22,"")</f>
        <v/>
      </c>
      <c r="G22" s="16" t="str">
        <f aca="false">IF(C22&gt;0,F22/C22,"")</f>
        <v/>
      </c>
      <c r="H22" s="11"/>
      <c r="I22" s="18" t="str">
        <f aca="false">IF(OR(C22="",C22=0),"",IF(AND(G22&gt;=$D$7,H22&gt;=$D$8),"STAR",IF(AND(G22&lt;$D$7,H22&gt;=$D$8),"PLOW HORSE",IF(AND(G22&gt;=$D$7,H22&lt;$D$8),"PUZZLE","DOG"))))</f>
        <v/>
      </c>
      <c r="J22" s="7" t="str">
        <f aca="false">IF(I22="STAR","Promote &amp; protect pricing",IF(I22="PLOW HORSE","Raise price or reduce portion",IF(I22="PUZZLE","Increase visibility &amp; marketing",IF(I22="DOG","Cut or completely reimagine",""))))</f>
        <v/>
      </c>
    </row>
    <row r="23" customFormat="false" ht="15" hidden="false" customHeight="false" outlineLevel="0" collapsed="false">
      <c r="A23" s="28"/>
      <c r="B23" s="29"/>
      <c r="C23" s="21"/>
      <c r="D23" s="21"/>
      <c r="E23" s="22" t="str">
        <f aca="false">IF(C23&gt;0,D23/C23,"")</f>
        <v/>
      </c>
      <c r="F23" s="23" t="str">
        <f aca="false">IF(C23&gt;0,C23-D23,"")</f>
        <v/>
      </c>
      <c r="G23" s="22" t="str">
        <f aca="false">IF(C23&gt;0,F23/C23,"")</f>
        <v/>
      </c>
      <c r="H23" s="24"/>
      <c r="I23" s="25" t="str">
        <f aca="false">IF(OR(C23="",C23=0),"",IF(AND(G23&gt;=$D$7,H23&gt;=$D$8),"STAR",IF(AND(G23&lt;$D$7,H23&gt;=$D$8),"PLOW HORSE",IF(AND(G23&gt;=$D$7,H23&lt;$D$8),"PUZZLE","DOG"))))</f>
        <v/>
      </c>
      <c r="J23" s="10" t="str">
        <f aca="false">IF(I23="STAR","Promote &amp; protect pricing",IF(I23="PLOW HORSE","Raise price or reduce portion",IF(I23="PUZZLE","Increase visibility &amp; marketing",IF(I23="DOG","Cut or completely reimagine",""))))</f>
        <v/>
      </c>
    </row>
    <row r="24" customFormat="false" ht="15" hidden="false" customHeight="false" outlineLevel="0" collapsed="false">
      <c r="A24" s="26"/>
      <c r="B24" s="27"/>
      <c r="C24" s="15"/>
      <c r="D24" s="15"/>
      <c r="E24" s="16" t="str">
        <f aca="false">IF(C24&gt;0,D24/C24,"")</f>
        <v/>
      </c>
      <c r="F24" s="17" t="str">
        <f aca="false">IF(C24&gt;0,C24-D24,"")</f>
        <v/>
      </c>
      <c r="G24" s="16" t="str">
        <f aca="false">IF(C24&gt;0,F24/C24,"")</f>
        <v/>
      </c>
      <c r="H24" s="11"/>
      <c r="I24" s="18" t="str">
        <f aca="false">IF(OR(C24="",C24=0),"",IF(AND(G24&gt;=$D$7,H24&gt;=$D$8),"STAR",IF(AND(G24&lt;$D$7,H24&gt;=$D$8),"PLOW HORSE",IF(AND(G24&gt;=$D$7,H24&lt;$D$8),"PUZZLE","DOG"))))</f>
        <v/>
      </c>
      <c r="J24" s="7" t="str">
        <f aca="false">IF(I24="STAR","Promote &amp; protect pricing",IF(I24="PLOW HORSE","Raise price or reduce portion",IF(I24="PUZZLE","Increase visibility &amp; marketing",IF(I24="DOG","Cut or completely reimagine",""))))</f>
        <v/>
      </c>
    </row>
    <row r="25" customFormat="false" ht="15" hidden="false" customHeight="false" outlineLevel="0" collapsed="false">
      <c r="A25" s="28"/>
      <c r="B25" s="29"/>
      <c r="C25" s="21"/>
      <c r="D25" s="21"/>
      <c r="E25" s="22" t="str">
        <f aca="false">IF(C25&gt;0,D25/C25,"")</f>
        <v/>
      </c>
      <c r="F25" s="23" t="str">
        <f aca="false">IF(C25&gt;0,C25-D25,"")</f>
        <v/>
      </c>
      <c r="G25" s="22" t="str">
        <f aca="false">IF(C25&gt;0,F25/C25,"")</f>
        <v/>
      </c>
      <c r="H25" s="24"/>
      <c r="I25" s="25" t="str">
        <f aca="false">IF(OR(C25="",C25=0),"",IF(AND(G25&gt;=$D$7,H25&gt;=$D$8),"STAR",IF(AND(G25&lt;$D$7,H25&gt;=$D$8),"PLOW HORSE",IF(AND(G25&gt;=$D$7,H25&lt;$D$8),"PUZZLE","DOG"))))</f>
        <v/>
      </c>
      <c r="J25" s="10" t="str">
        <f aca="false">IF(I25="STAR","Promote &amp; protect pricing",IF(I25="PLOW HORSE","Raise price or reduce portion",IF(I25="PUZZLE","Increase visibility &amp; marketing",IF(I25="DOG","Cut or completely reimagine",""))))</f>
        <v/>
      </c>
    </row>
    <row r="26" customFormat="false" ht="15" hidden="false" customHeight="false" outlineLevel="0" collapsed="false">
      <c r="A26" s="26"/>
      <c r="B26" s="27"/>
      <c r="C26" s="15"/>
      <c r="D26" s="15"/>
      <c r="E26" s="16" t="str">
        <f aca="false">IF(C26&gt;0,D26/C26,"")</f>
        <v/>
      </c>
      <c r="F26" s="17" t="str">
        <f aca="false">IF(C26&gt;0,C26-D26,"")</f>
        <v/>
      </c>
      <c r="G26" s="16" t="str">
        <f aca="false">IF(C26&gt;0,F26/C26,"")</f>
        <v/>
      </c>
      <c r="H26" s="11"/>
      <c r="I26" s="18" t="str">
        <f aca="false">IF(OR(C26="",C26=0),"",IF(AND(G26&gt;=$D$7,H26&gt;=$D$8),"STAR",IF(AND(G26&lt;$D$7,H26&gt;=$D$8),"PLOW HORSE",IF(AND(G26&gt;=$D$7,H26&lt;$D$8),"PUZZLE","DOG"))))</f>
        <v/>
      </c>
      <c r="J26" s="7" t="str">
        <f aca="false">IF(I26="STAR","Promote &amp; protect pricing",IF(I26="PLOW HORSE","Raise price or reduce portion",IF(I26="PUZZLE","Increase visibility &amp; marketing",IF(I26="DOG","Cut or completely reimagine",""))))</f>
        <v/>
      </c>
    </row>
    <row r="27" customFormat="false" ht="15" hidden="false" customHeight="false" outlineLevel="0" collapsed="false">
      <c r="A27" s="28"/>
      <c r="B27" s="29"/>
      <c r="C27" s="21"/>
      <c r="D27" s="21"/>
      <c r="E27" s="22" t="str">
        <f aca="false">IF(C27&gt;0,D27/C27,"")</f>
        <v/>
      </c>
      <c r="F27" s="23" t="str">
        <f aca="false">IF(C27&gt;0,C27-D27,"")</f>
        <v/>
      </c>
      <c r="G27" s="22" t="str">
        <f aca="false">IF(C27&gt;0,F27/C27,"")</f>
        <v/>
      </c>
      <c r="H27" s="24"/>
      <c r="I27" s="25" t="str">
        <f aca="false">IF(OR(C27="",C27=0),"",IF(AND(G27&gt;=$D$7,H27&gt;=$D$8),"STAR",IF(AND(G27&lt;$D$7,H27&gt;=$D$8),"PLOW HORSE",IF(AND(G27&gt;=$D$7,H27&lt;$D$8),"PUZZLE","DOG"))))</f>
        <v/>
      </c>
      <c r="J27" s="10" t="str">
        <f aca="false">IF(I27="STAR","Promote &amp; protect pricing",IF(I27="PLOW HORSE","Raise price or reduce portion",IF(I27="PUZZLE","Increase visibility &amp; marketing",IF(I27="DOG","Cut or completely reimagine",""))))</f>
        <v/>
      </c>
    </row>
    <row r="28" customFormat="false" ht="15" hidden="false" customHeight="false" outlineLevel="0" collapsed="false">
      <c r="A28" s="26"/>
      <c r="B28" s="27"/>
      <c r="C28" s="15"/>
      <c r="D28" s="15"/>
      <c r="E28" s="16" t="str">
        <f aca="false">IF(C28&gt;0,D28/C28,"")</f>
        <v/>
      </c>
      <c r="F28" s="17" t="str">
        <f aca="false">IF(C28&gt;0,C28-D28,"")</f>
        <v/>
      </c>
      <c r="G28" s="16" t="str">
        <f aca="false">IF(C28&gt;0,F28/C28,"")</f>
        <v/>
      </c>
      <c r="H28" s="11"/>
      <c r="I28" s="18" t="str">
        <f aca="false">IF(OR(C28="",C28=0),"",IF(AND(G28&gt;=$D$7,H28&gt;=$D$8),"STAR",IF(AND(G28&lt;$D$7,H28&gt;=$D$8),"PLOW HORSE",IF(AND(G28&gt;=$D$7,H28&lt;$D$8),"PUZZLE","DOG"))))</f>
        <v/>
      </c>
      <c r="J28" s="7" t="str">
        <f aca="false">IF(I28="STAR","Promote &amp; protect pricing",IF(I28="PLOW HORSE","Raise price or reduce portion",IF(I28="PUZZLE","Increase visibility &amp; marketing",IF(I28="DOG","Cut or completely reimagine",""))))</f>
        <v/>
      </c>
    </row>
    <row r="29" customFormat="false" ht="15" hidden="false" customHeight="false" outlineLevel="0" collapsed="false">
      <c r="A29" s="28"/>
      <c r="B29" s="29"/>
      <c r="C29" s="21"/>
      <c r="D29" s="21"/>
      <c r="E29" s="22" t="str">
        <f aca="false">IF(C29&gt;0,D29/C29,"")</f>
        <v/>
      </c>
      <c r="F29" s="23" t="str">
        <f aca="false">IF(C29&gt;0,C29-D29,"")</f>
        <v/>
      </c>
      <c r="G29" s="22" t="str">
        <f aca="false">IF(C29&gt;0,F29/C29,"")</f>
        <v/>
      </c>
      <c r="H29" s="24"/>
      <c r="I29" s="25" t="str">
        <f aca="false">IF(OR(C29="",C29=0),"",IF(AND(G29&gt;=$D$7,H29&gt;=$D$8),"STAR",IF(AND(G29&lt;$D$7,H29&gt;=$D$8),"PLOW HORSE",IF(AND(G29&gt;=$D$7,H29&lt;$D$8),"PUZZLE","DOG"))))</f>
        <v/>
      </c>
      <c r="J29" s="10" t="str">
        <f aca="false">IF(I29="STAR","Promote &amp; protect pricing",IF(I29="PLOW HORSE","Raise price or reduce portion",IF(I29="PUZZLE","Increase visibility &amp; marketing",IF(I29="DOG","Cut or completely reimagine",""))))</f>
        <v/>
      </c>
    </row>
    <row r="30" customFormat="false" ht="15" hidden="false" customHeight="false" outlineLevel="0" collapsed="false">
      <c r="A30" s="26"/>
      <c r="B30" s="27"/>
      <c r="C30" s="15"/>
      <c r="D30" s="15"/>
      <c r="E30" s="16" t="str">
        <f aca="false">IF(C30&gt;0,D30/C30,"")</f>
        <v/>
      </c>
      <c r="F30" s="17" t="str">
        <f aca="false">IF(C30&gt;0,C30-D30,"")</f>
        <v/>
      </c>
      <c r="G30" s="16" t="str">
        <f aca="false">IF(C30&gt;0,F30/C30,"")</f>
        <v/>
      </c>
      <c r="H30" s="11"/>
      <c r="I30" s="18" t="str">
        <f aca="false">IF(OR(C30="",C30=0),"",IF(AND(G30&gt;=$D$7,H30&gt;=$D$8),"STAR",IF(AND(G30&lt;$D$7,H30&gt;=$D$8),"PLOW HORSE",IF(AND(G30&gt;=$D$7,H30&lt;$D$8),"PUZZLE","DOG"))))</f>
        <v/>
      </c>
      <c r="J30" s="7" t="str">
        <f aca="false">IF(I30="STAR","Promote &amp; protect pricing",IF(I30="PLOW HORSE","Raise price or reduce portion",IF(I30="PUZZLE","Increase visibility &amp; marketing",IF(I30="DOG","Cut or completely reimagine",""))))</f>
        <v/>
      </c>
    </row>
    <row r="31" customFormat="false" ht="15" hidden="false" customHeight="false" outlineLevel="0" collapsed="false">
      <c r="A31" s="28"/>
      <c r="B31" s="29"/>
      <c r="C31" s="21"/>
      <c r="D31" s="21"/>
      <c r="E31" s="22" t="str">
        <f aca="false">IF(C31&gt;0,D31/C31,"")</f>
        <v/>
      </c>
      <c r="F31" s="23" t="str">
        <f aca="false">IF(C31&gt;0,C31-D31,"")</f>
        <v/>
      </c>
      <c r="G31" s="22" t="str">
        <f aca="false">IF(C31&gt;0,F31/C31,"")</f>
        <v/>
      </c>
      <c r="H31" s="24"/>
      <c r="I31" s="25" t="str">
        <f aca="false">IF(OR(C31="",C31=0),"",IF(AND(G31&gt;=$D$7,H31&gt;=$D$8),"STAR",IF(AND(G31&lt;$D$7,H31&gt;=$D$8),"PLOW HORSE",IF(AND(G31&gt;=$D$7,H31&lt;$D$8),"PUZZLE","DOG"))))</f>
        <v/>
      </c>
      <c r="J31" s="10" t="str">
        <f aca="false">IF(I31="STAR","Promote &amp; protect pricing",IF(I31="PLOW HORSE","Raise price or reduce portion",IF(I31="PUZZLE","Increase visibility &amp; marketing",IF(I31="DOG","Cut or completely reimagine",""))))</f>
        <v/>
      </c>
    </row>
    <row r="33" customFormat="false" ht="15" hidden="false" customHeight="true" outlineLevel="0" collapsed="false">
      <c r="A33" s="4" t="s">
        <v>34</v>
      </c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true" outlineLevel="0" collapsed="false">
      <c r="A34" s="5" t="s">
        <v>35</v>
      </c>
      <c r="B34" s="5"/>
      <c r="C34" s="5"/>
      <c r="D34" s="5"/>
      <c r="E34" s="30" t="n">
        <f aca="false">COUNTA(A12:A31)</f>
        <v>8</v>
      </c>
      <c r="F34" s="13"/>
      <c r="G34" s="13"/>
      <c r="H34" s="13"/>
      <c r="I34" s="13"/>
      <c r="J34" s="13"/>
    </row>
    <row r="35" customFormat="false" ht="15" hidden="false" customHeight="true" outlineLevel="0" collapsed="false">
      <c r="A35" s="8" t="s">
        <v>36</v>
      </c>
      <c r="B35" s="8"/>
      <c r="C35" s="8"/>
      <c r="D35" s="8"/>
      <c r="E35" s="22" t="n">
        <f aca="false">IFERROR(AVERAGE(E12:E31),0)</f>
        <v>0.3</v>
      </c>
      <c r="F35" s="19"/>
      <c r="G35" s="19"/>
      <c r="H35" s="19"/>
      <c r="I35" s="19"/>
      <c r="J35" s="19"/>
    </row>
    <row r="36" customFormat="false" ht="15" hidden="false" customHeight="true" outlineLevel="0" collapsed="false">
      <c r="A36" s="5" t="s">
        <v>37</v>
      </c>
      <c r="B36" s="5"/>
      <c r="C36" s="5"/>
      <c r="D36" s="5"/>
      <c r="E36" s="16" t="n">
        <f aca="false">IFERROR(AVERAGE(G12:G31),0)</f>
        <v>0.7</v>
      </c>
      <c r="F36" s="13"/>
      <c r="G36" s="13"/>
      <c r="H36" s="13"/>
      <c r="I36" s="13"/>
      <c r="J36" s="13"/>
    </row>
    <row r="37" customFormat="false" ht="15" hidden="false" customHeight="true" outlineLevel="0" collapsed="false">
      <c r="A37" s="8" t="s">
        <v>38</v>
      </c>
      <c r="B37" s="8"/>
      <c r="C37" s="8"/>
      <c r="D37" s="8"/>
      <c r="E37" s="31" t="n">
        <f aca="false">COUNTIF(E12:E31,"&gt;"&amp;D6)</f>
        <v>2</v>
      </c>
      <c r="F37" s="19"/>
      <c r="G37" s="19"/>
      <c r="H37" s="19"/>
      <c r="I37" s="19"/>
      <c r="J37" s="19"/>
    </row>
    <row r="38" customFormat="false" ht="15" hidden="false" customHeight="true" outlineLevel="0" collapsed="false">
      <c r="A38" s="5" t="s">
        <v>39</v>
      </c>
      <c r="B38" s="5"/>
      <c r="C38" s="5"/>
      <c r="D38" s="5"/>
      <c r="E38" s="30" t="n">
        <f aca="false">COUNTIF(I12:I31,"STAR")</f>
        <v>7</v>
      </c>
      <c r="F38" s="13"/>
      <c r="G38" s="13"/>
      <c r="H38" s="13"/>
      <c r="I38" s="13"/>
      <c r="J38" s="13"/>
    </row>
    <row r="39" customFormat="false" ht="15" hidden="false" customHeight="true" outlineLevel="0" collapsed="false">
      <c r="A39" s="8" t="s">
        <v>40</v>
      </c>
      <c r="B39" s="8"/>
      <c r="C39" s="8"/>
      <c r="D39" s="8"/>
      <c r="E39" s="31" t="n">
        <f aca="false">COUNTIF(I12:I31,"PLOW HORSE")</f>
        <v>0</v>
      </c>
      <c r="F39" s="19"/>
      <c r="G39" s="19"/>
      <c r="H39" s="19"/>
      <c r="I39" s="19"/>
      <c r="J39" s="19"/>
    </row>
    <row r="40" customFormat="false" ht="15" hidden="false" customHeight="true" outlineLevel="0" collapsed="false">
      <c r="A40" s="5" t="s">
        <v>41</v>
      </c>
      <c r="B40" s="5"/>
      <c r="C40" s="5"/>
      <c r="D40" s="5"/>
      <c r="E40" s="30" t="n">
        <f aca="false">COUNTIF(I12:I31,"PUZZLE")</f>
        <v>1</v>
      </c>
      <c r="F40" s="13"/>
      <c r="G40" s="13"/>
      <c r="H40" s="13"/>
      <c r="I40" s="13"/>
      <c r="J40" s="13"/>
    </row>
    <row r="41" customFormat="false" ht="15" hidden="false" customHeight="true" outlineLevel="0" collapsed="false">
      <c r="A41" s="8" t="s">
        <v>42</v>
      </c>
      <c r="B41" s="8"/>
      <c r="C41" s="8"/>
      <c r="D41" s="8"/>
      <c r="E41" s="31" t="n">
        <f aca="false">COUNTIF(I12:I31,"DOG")</f>
        <v>0</v>
      </c>
      <c r="F41" s="19"/>
      <c r="G41" s="19"/>
      <c r="H41" s="19"/>
      <c r="I41" s="19"/>
      <c r="J41" s="19"/>
    </row>
    <row r="43" customFormat="false" ht="15" hidden="false" customHeight="true" outlineLevel="0" collapsed="false">
      <c r="A43" s="4" t="s">
        <v>43</v>
      </c>
      <c r="B43" s="4"/>
      <c r="C43" s="4"/>
      <c r="D43" s="4"/>
      <c r="E43" s="4"/>
      <c r="F43" s="4"/>
      <c r="G43" s="4"/>
      <c r="H43" s="4"/>
      <c r="I43" s="4"/>
      <c r="J43" s="4"/>
    </row>
    <row r="44" customFormat="false" ht="15" hidden="false" customHeight="false" outlineLevel="0" collapsed="false">
      <c r="A44" s="32" t="s">
        <v>19</v>
      </c>
      <c r="B44" s="32"/>
      <c r="C44" s="32" t="s">
        <v>44</v>
      </c>
      <c r="D44" s="32"/>
      <c r="E44" s="32"/>
      <c r="F44" s="32" t="s">
        <v>45</v>
      </c>
      <c r="G44" s="32"/>
      <c r="H44" s="32"/>
      <c r="I44" s="32"/>
      <c r="J44" s="32"/>
    </row>
    <row r="45" customFormat="false" ht="22.35" hidden="false" customHeight="true" outlineLevel="0" collapsed="false">
      <c r="A45" s="33" t="s">
        <v>46</v>
      </c>
      <c r="B45" s="33"/>
      <c r="C45" s="34" t="s">
        <v>47</v>
      </c>
      <c r="D45" s="34"/>
      <c r="E45" s="34"/>
      <c r="F45" s="35" t="s">
        <v>48</v>
      </c>
      <c r="G45" s="35"/>
      <c r="H45" s="35"/>
      <c r="I45" s="35"/>
      <c r="J45" s="35"/>
    </row>
    <row r="46" customFormat="false" ht="22.35" hidden="false" customHeight="true" outlineLevel="0" collapsed="false">
      <c r="A46" s="36" t="s">
        <v>49</v>
      </c>
      <c r="B46" s="36"/>
      <c r="C46" s="37" t="s">
        <v>50</v>
      </c>
      <c r="D46" s="37"/>
      <c r="E46" s="37"/>
      <c r="F46" s="38" t="s">
        <v>51</v>
      </c>
      <c r="G46" s="38"/>
      <c r="H46" s="38"/>
      <c r="I46" s="38"/>
      <c r="J46" s="38"/>
    </row>
    <row r="47" customFormat="false" ht="22.35" hidden="false" customHeight="true" outlineLevel="0" collapsed="false">
      <c r="A47" s="39" t="s">
        <v>52</v>
      </c>
      <c r="B47" s="39"/>
      <c r="C47" s="40" t="s">
        <v>53</v>
      </c>
      <c r="D47" s="40"/>
      <c r="E47" s="40"/>
      <c r="F47" s="41" t="s">
        <v>54</v>
      </c>
      <c r="G47" s="41"/>
      <c r="H47" s="41"/>
      <c r="I47" s="41"/>
      <c r="J47" s="41"/>
    </row>
    <row r="48" customFormat="false" ht="22.35" hidden="false" customHeight="true" outlineLevel="0" collapsed="false">
      <c r="A48" s="42" t="s">
        <v>55</v>
      </c>
      <c r="B48" s="42"/>
      <c r="C48" s="43" t="s">
        <v>56</v>
      </c>
      <c r="D48" s="43"/>
      <c r="E48" s="43"/>
      <c r="F48" s="44" t="s">
        <v>57</v>
      </c>
      <c r="G48" s="44"/>
      <c r="H48" s="44"/>
      <c r="I48" s="44"/>
      <c r="J48" s="44"/>
    </row>
    <row r="51" customFormat="false" ht="15" hidden="false" customHeight="true" outlineLevel="0" collapsed="false">
      <c r="A51" s="45" t="s">
        <v>58</v>
      </c>
      <c r="B51" s="45"/>
      <c r="C51" s="45"/>
      <c r="D51" s="45"/>
      <c r="E51" s="45"/>
      <c r="F51" s="45"/>
      <c r="G51" s="45"/>
      <c r="H51" s="45"/>
      <c r="I51" s="45"/>
      <c r="J51" s="45"/>
    </row>
  </sheetData>
  <mergeCells count="34">
    <mergeCell ref="A1:J1"/>
    <mergeCell ref="A2:J2"/>
    <mergeCell ref="A3:J3"/>
    <mergeCell ref="A5:J5"/>
    <mergeCell ref="A6:C6"/>
    <mergeCell ref="E6:J6"/>
    <mergeCell ref="A7:C7"/>
    <mergeCell ref="E7:J7"/>
    <mergeCell ref="A8:C8"/>
    <mergeCell ref="E8:J8"/>
    <mergeCell ref="A10:J10"/>
    <mergeCell ref="A33:J33"/>
    <mergeCell ref="A34:D34"/>
    <mergeCell ref="A35:D35"/>
    <mergeCell ref="A36:D36"/>
    <mergeCell ref="A37:D37"/>
    <mergeCell ref="A38:D38"/>
    <mergeCell ref="A39:D39"/>
    <mergeCell ref="A40:D40"/>
    <mergeCell ref="A41:D41"/>
    <mergeCell ref="A43:J43"/>
    <mergeCell ref="A45:B45"/>
    <mergeCell ref="C45:E45"/>
    <mergeCell ref="F45:J45"/>
    <mergeCell ref="A46:B46"/>
    <mergeCell ref="C46:E46"/>
    <mergeCell ref="F46:J46"/>
    <mergeCell ref="A47:B47"/>
    <mergeCell ref="C47:E47"/>
    <mergeCell ref="F47:J47"/>
    <mergeCell ref="A48:B48"/>
    <mergeCell ref="C48:E48"/>
    <mergeCell ref="F48:J48"/>
    <mergeCell ref="A51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2026-02-16T17:51:12Z</dcterms:created>
  <dc:creator>openpyxl</dc:creator>
  <dc:description/>
  <dc:language>en-US</dc:language>
  <cp:lastModifiedBy/>
  <dcterms:modified xsi:type="dcterms:W3CDTF">2026-02-16T17:51:12Z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