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eak-Even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<sst xmlns="http://schemas.openxmlformats.org/spreadsheetml/2006/main" count="52" uniqueCount="51">
  <si>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 xml:space="preserve">BREAK-EVEN CALCULATOR</t>
  </si>
  <si>
    <t xml:space="preserve">The Catering Profit System  |  Module 5: Cash Flow Management  |  trecoleman.com</t>
  </si>
  <si>
    <t xml:space="preserve">Blue cells = your inputs  |  How many events do you need to cover all your costs?</t>
  </si>
  <si>
    <t xml:space="preserve">FIXED MONTHLY COSTS (Expenses that don't change with event volume)</t>
  </si>
  <si>
    <t xml:space="preserve">Kitchen / Commissary Rent</t>
  </si>
  <si>
    <t xml:space="preserve">Vehicle Payment(s)</t>
  </si>
  <si>
    <t xml:space="preserve">Vehicle Insurance</t>
  </si>
  <si>
    <t xml:space="preserve">Business Insurance (liability)</t>
  </si>
  <si>
    <t xml:space="preserve">Equipment Lease / Payments</t>
  </si>
  <si>
    <t xml:space="preserve">Phone / Internet</t>
  </si>
  <si>
    <t xml:space="preserve">Software / Subscriptions</t>
  </si>
  <si>
    <t xml:space="preserve">Marketing / Advertising</t>
  </si>
  <si>
    <t xml:space="preserve">Licenses / Permits (monthly)</t>
  </si>
  <si>
    <t xml:space="preserve">Storage / Warehouse</t>
  </si>
  <si>
    <t xml:space="preserve">Loan / Debt Payments</t>
  </si>
  <si>
    <t xml:space="preserve">Owner's Salary / Draw</t>
  </si>
  <si>
    <t xml:space="preserve">Employee Salaries (non-event)</t>
  </si>
  <si>
    <t xml:space="preserve">Bookkeeping / Accounting</t>
  </si>
  <si>
    <t xml:space="preserve">Miscellaneous Fixed</t>
  </si>
  <si>
    <t xml:space="preserve">TOTAL FIXED MONTHLY COSTS</t>
  </si>
  <si>
    <t xml:space="preserve">AVERAGE VARIABLE COSTS PER EVENT</t>
  </si>
  <si>
    <t xml:space="preserve">Average Food Cost Per Event</t>
  </si>
  <si>
    <t xml:space="preserve">Average Labor Cost Per Event</t>
  </si>
  <si>
    <t xml:space="preserve">Average Transportation / Fuel</t>
  </si>
  <si>
    <t xml:space="preserve">Average Equipment Rental / Supplies</t>
  </si>
  <si>
    <t xml:space="preserve">Average Disposables / Packaging</t>
  </si>
  <si>
    <t xml:space="preserve">Other Variable Costs Per Event</t>
  </si>
  <si>
    <t xml:space="preserve">TOTAL VARIABLE COST PER EVENT</t>
  </si>
  <si>
    <t xml:space="preserve">AVERAGE REVENUE PER EVENT</t>
  </si>
  <si>
    <t xml:space="preserve">Average Event Revenue</t>
  </si>
  <si>
    <t xml:space="preserve">Contribution Margin Per Event</t>
  </si>
  <si>
    <t xml:space="preserve">Contribution Margin %</t>
  </si>
  <si>
    <t xml:space="preserve">BREAK-EVEN ANALYSIS</t>
  </si>
  <si>
    <t xml:space="preserve">Monthly Fixed Costs</t>
  </si>
  <si>
    <t xml:space="preserve">BREAK-EVEN: Events Per Month</t>
  </si>
  <si>
    <t xml:space="preserve">BREAK-EVEN: Events Per Week</t>
  </si>
  <si>
    <t xml:space="preserve">BREAK-EVEN: Monthly Revenue Needed</t>
  </si>
  <si>
    <t xml:space="preserve">Current Events Per Month</t>
  </si>
  <si>
    <t xml:space="preserve">Current Monthly Revenue</t>
  </si>
  <si>
    <t xml:space="preserve">Current Monthly Profit</t>
  </si>
  <si>
    <t xml:space="preserve">Current Annual Profit</t>
  </si>
  <si>
    <t xml:space="preserve">Events Above/Below Break-Even</t>
  </si>
  <si>
    <t xml:space="preserve">Monthly Profit Cushion</t>
  </si>
  <si>
    <t xml:space="preserve">WHAT-IF SCENARIOS</t>
  </si>
  <si>
    <t xml:space="preserve">Events/Month</t>
  </si>
  <si>
    <t xml:space="preserve">Monthly Revenue</t>
  </si>
  <si>
    <t xml:space="preserve">Monthly Variable</t>
  </si>
  <si>
    <t xml:space="preserve">Monthly Fixed</t>
  </si>
  <si>
    <t xml:space="preserve">Monthly Profit</t>
  </si>
  <si>
    <t xml:space="preserve">Annual Profit</t>
  </si>
  <si>
    <t xml:space="preserve">Want a custom financial analysis? The Profit Leak Snapshot includes break-even analysis for YOUR operation. trecoleman.com/profit-leak-snapshot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</si>
</sst>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0"/>
    <numFmt numFmtId="168" formatCode="0.0"/>
    <numFmt numFmtId="169" formatCode="\$#,##0;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i val="true"/>
      <sz val="10"/>
      <color rgb="FFE9456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3460"/>
        <bgColor rgb="FF1A1A2E"/>
      </patternFill>
    </fill>
    <fill>
      <patternFill patternType="solid">
        <fgColor rgb="FFF5F5F5"/>
        <bgColor rgb="FFE8F5E9"/>
      </patternFill>
    </fill>
    <fill>
      <patternFill patternType="solid">
        <fgColor rgb="FFE94560"/>
        <bgColor rgb="FF993366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E0E0E0"/>
        <bgColor rgb="FFE3F2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E3F2FD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F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5" min="4" style="0" width="18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5" t="s">
        <v>4</v>
      </c>
      <c r="B6" s="5"/>
      <c r="C6" s="5"/>
      <c r="D6" s="6" t="n">
        <v>1500</v>
      </c>
      <c r="E6" s="5"/>
      <c r="F6" s="5"/>
    </row>
    <row r="7" customFormat="false" ht="15" hidden="false" customHeight="true" outlineLevel="0" collapsed="false">
      <c r="A7" s="7" t="s">
        <v>5</v>
      </c>
      <c r="B7" s="7"/>
      <c r="C7" s="7"/>
      <c r="D7" s="8" t="n">
        <v>450</v>
      </c>
      <c r="E7" s="7"/>
      <c r="F7" s="7"/>
    </row>
    <row r="8" customFormat="false" ht="15" hidden="false" customHeight="true" outlineLevel="0" collapsed="false">
      <c r="A8" s="5" t="s">
        <v>6</v>
      </c>
      <c r="B8" s="5"/>
      <c r="C8" s="5"/>
      <c r="D8" s="6" t="n">
        <v>200</v>
      </c>
      <c r="E8" s="5"/>
      <c r="F8" s="5"/>
    </row>
    <row r="9" customFormat="false" ht="15" hidden="false" customHeight="true" outlineLevel="0" collapsed="false">
      <c r="A9" s="7" t="s">
        <v>7</v>
      </c>
      <c r="B9" s="7"/>
      <c r="C9" s="7"/>
      <c r="D9" s="8" t="n">
        <v>150</v>
      </c>
      <c r="E9" s="7"/>
      <c r="F9" s="7"/>
    </row>
    <row r="10" customFormat="false" ht="15" hidden="false" customHeight="true" outlineLevel="0" collapsed="false">
      <c r="A10" s="5" t="s">
        <v>8</v>
      </c>
      <c r="B10" s="5"/>
      <c r="C10" s="5"/>
      <c r="D10" s="6" t="n">
        <v>0</v>
      </c>
      <c r="E10" s="5"/>
      <c r="F10" s="5"/>
    </row>
    <row r="11" customFormat="false" ht="15" hidden="false" customHeight="true" outlineLevel="0" collapsed="false">
      <c r="A11" s="7" t="s">
        <v>9</v>
      </c>
      <c r="B11" s="7"/>
      <c r="C11" s="7"/>
      <c r="D11" s="8" t="n">
        <v>150</v>
      </c>
      <c r="E11" s="7"/>
      <c r="F11" s="7"/>
    </row>
    <row r="12" customFormat="false" ht="15" hidden="false" customHeight="true" outlineLevel="0" collapsed="false">
      <c r="A12" s="5" t="s">
        <v>10</v>
      </c>
      <c r="B12" s="5"/>
      <c r="C12" s="5"/>
      <c r="D12" s="6" t="n">
        <v>100</v>
      </c>
      <c r="E12" s="5"/>
      <c r="F12" s="5"/>
    </row>
    <row r="13" customFormat="false" ht="15" hidden="false" customHeight="true" outlineLevel="0" collapsed="false">
      <c r="A13" s="7" t="s">
        <v>11</v>
      </c>
      <c r="B13" s="7"/>
      <c r="C13" s="7"/>
      <c r="D13" s="8" t="n">
        <v>200</v>
      </c>
      <c r="E13" s="7"/>
      <c r="F13" s="7"/>
    </row>
    <row r="14" customFormat="false" ht="15" hidden="false" customHeight="true" outlineLevel="0" collapsed="false">
      <c r="A14" s="5" t="s">
        <v>12</v>
      </c>
      <c r="B14" s="5"/>
      <c r="C14" s="5"/>
      <c r="D14" s="6" t="n">
        <v>50</v>
      </c>
      <c r="E14" s="5"/>
      <c r="F14" s="5"/>
    </row>
    <row r="15" customFormat="false" ht="15" hidden="false" customHeight="true" outlineLevel="0" collapsed="false">
      <c r="A15" s="7" t="s">
        <v>13</v>
      </c>
      <c r="B15" s="7"/>
      <c r="C15" s="7"/>
      <c r="D15" s="8" t="n">
        <v>0</v>
      </c>
      <c r="E15" s="7"/>
      <c r="F15" s="7"/>
    </row>
    <row r="16" customFormat="false" ht="15" hidden="false" customHeight="true" outlineLevel="0" collapsed="false">
      <c r="A16" s="5" t="s">
        <v>14</v>
      </c>
      <c r="B16" s="5"/>
      <c r="C16" s="5"/>
      <c r="D16" s="6" t="n">
        <v>0</v>
      </c>
      <c r="E16" s="5"/>
      <c r="F16" s="5"/>
    </row>
    <row r="17" customFormat="false" ht="15" hidden="false" customHeight="true" outlineLevel="0" collapsed="false">
      <c r="A17" s="7" t="s">
        <v>15</v>
      </c>
      <c r="B17" s="7"/>
      <c r="C17" s="7"/>
      <c r="D17" s="8" t="n">
        <v>4000</v>
      </c>
      <c r="E17" s="7"/>
      <c r="F17" s="7"/>
    </row>
    <row r="18" customFormat="false" ht="15" hidden="false" customHeight="true" outlineLevel="0" collapsed="false">
      <c r="A18" s="5" t="s">
        <v>16</v>
      </c>
      <c r="B18" s="5"/>
      <c r="C18" s="5"/>
      <c r="D18" s="6" t="n">
        <v>0</v>
      </c>
      <c r="E18" s="5"/>
      <c r="F18" s="5"/>
    </row>
    <row r="19" customFormat="false" ht="15" hidden="false" customHeight="true" outlineLevel="0" collapsed="false">
      <c r="A19" s="7" t="s">
        <v>17</v>
      </c>
      <c r="B19" s="7"/>
      <c r="C19" s="7"/>
      <c r="D19" s="8" t="n">
        <v>150</v>
      </c>
      <c r="E19" s="7"/>
      <c r="F19" s="7"/>
    </row>
    <row r="20" customFormat="false" ht="15" hidden="false" customHeight="true" outlineLevel="0" collapsed="false">
      <c r="A20" s="5" t="s">
        <v>18</v>
      </c>
      <c r="B20" s="5"/>
      <c r="C20" s="5"/>
      <c r="D20" s="6" t="n">
        <v>100</v>
      </c>
      <c r="E20" s="5"/>
      <c r="F20" s="5"/>
    </row>
    <row r="21" customFormat="false" ht="15" hidden="false" customHeight="true" outlineLevel="0" collapsed="false">
      <c r="A21" s="9" t="s">
        <v>19</v>
      </c>
      <c r="B21" s="9"/>
      <c r="C21" s="9"/>
      <c r="D21" s="10" t="n">
        <f aca="false">SUM(D6:D20)</f>
        <v>7050</v>
      </c>
      <c r="E21" s="11"/>
      <c r="F21" s="11"/>
    </row>
    <row r="23" customFormat="false" ht="15" hidden="false" customHeight="true" outlineLevel="0" collapsed="false">
      <c r="A23" s="4" t="s">
        <v>20</v>
      </c>
      <c r="B23" s="4"/>
      <c r="C23" s="4"/>
      <c r="D23" s="4"/>
      <c r="E23" s="4"/>
      <c r="F23" s="4"/>
    </row>
    <row r="24" customFormat="false" ht="15" hidden="false" customHeight="true" outlineLevel="0" collapsed="false">
      <c r="A24" s="5" t="s">
        <v>21</v>
      </c>
      <c r="B24" s="5"/>
      <c r="C24" s="5"/>
      <c r="D24" s="6" t="n">
        <v>1200</v>
      </c>
      <c r="E24" s="5"/>
      <c r="F24" s="5"/>
    </row>
    <row r="25" customFormat="false" ht="15" hidden="false" customHeight="true" outlineLevel="0" collapsed="false">
      <c r="A25" s="7" t="s">
        <v>22</v>
      </c>
      <c r="B25" s="7"/>
      <c r="C25" s="7"/>
      <c r="D25" s="8" t="n">
        <v>900</v>
      </c>
      <c r="E25" s="7"/>
      <c r="F25" s="7"/>
    </row>
    <row r="26" customFormat="false" ht="15" hidden="false" customHeight="true" outlineLevel="0" collapsed="false">
      <c r="A26" s="5" t="s">
        <v>23</v>
      </c>
      <c r="B26" s="5"/>
      <c r="C26" s="5"/>
      <c r="D26" s="6" t="n">
        <v>75</v>
      </c>
      <c r="E26" s="5"/>
      <c r="F26" s="5"/>
    </row>
    <row r="27" customFormat="false" ht="15" hidden="false" customHeight="true" outlineLevel="0" collapsed="false">
      <c r="A27" s="7" t="s">
        <v>24</v>
      </c>
      <c r="B27" s="7"/>
      <c r="C27" s="7"/>
      <c r="D27" s="8" t="n">
        <v>100</v>
      </c>
      <c r="E27" s="7"/>
      <c r="F27" s="7"/>
    </row>
    <row r="28" customFormat="false" ht="15" hidden="false" customHeight="true" outlineLevel="0" collapsed="false">
      <c r="A28" s="5" t="s">
        <v>25</v>
      </c>
      <c r="B28" s="5"/>
      <c r="C28" s="5"/>
      <c r="D28" s="6" t="n">
        <v>80</v>
      </c>
      <c r="E28" s="5"/>
      <c r="F28" s="5"/>
    </row>
    <row r="29" customFormat="false" ht="15" hidden="false" customHeight="true" outlineLevel="0" collapsed="false">
      <c r="A29" s="7" t="s">
        <v>26</v>
      </c>
      <c r="B29" s="7"/>
      <c r="C29" s="7"/>
      <c r="D29" s="8" t="n">
        <v>50</v>
      </c>
      <c r="E29" s="7"/>
      <c r="F29" s="7"/>
    </row>
    <row r="30" customFormat="false" ht="15" hidden="false" customHeight="true" outlineLevel="0" collapsed="false">
      <c r="A30" s="9" t="s">
        <v>27</v>
      </c>
      <c r="B30" s="9"/>
      <c r="C30" s="9"/>
      <c r="D30" s="10" t="n">
        <f aca="false">SUM(D24:D29)</f>
        <v>2405</v>
      </c>
      <c r="E30" s="11"/>
      <c r="F30" s="11"/>
    </row>
    <row r="32" customFormat="false" ht="15" hidden="false" customHeight="true" outlineLevel="0" collapsed="false">
      <c r="A32" s="4" t="s">
        <v>28</v>
      </c>
      <c r="B32" s="4"/>
      <c r="C32" s="4"/>
      <c r="D32" s="4"/>
      <c r="E32" s="4"/>
      <c r="F32" s="4"/>
    </row>
    <row r="33" customFormat="false" ht="15" hidden="false" customHeight="true" outlineLevel="0" collapsed="false">
      <c r="A33" s="12" t="s">
        <v>29</v>
      </c>
      <c r="B33" s="12"/>
      <c r="C33" s="12"/>
      <c r="D33" s="8" t="n">
        <v>3500</v>
      </c>
      <c r="E33" s="5"/>
      <c r="F33" s="5"/>
    </row>
    <row r="34" customFormat="false" ht="15" hidden="false" customHeight="true" outlineLevel="0" collapsed="false">
      <c r="A34" s="12" t="s">
        <v>30</v>
      </c>
      <c r="B34" s="12"/>
      <c r="C34" s="12"/>
      <c r="D34" s="13" t="n">
        <f aca="false">D33-D30</f>
        <v>1095</v>
      </c>
      <c r="E34" s="5"/>
      <c r="F34" s="5"/>
    </row>
    <row r="35" customFormat="false" ht="15" hidden="false" customHeight="true" outlineLevel="0" collapsed="false">
      <c r="A35" s="12" t="s">
        <v>31</v>
      </c>
      <c r="B35" s="12"/>
      <c r="C35" s="12"/>
      <c r="D35" s="14" t="n">
        <f aca="false">IF(D33&gt;0,D34/D33,0)</f>
        <v>0.312857142857143</v>
      </c>
      <c r="E35" s="5"/>
      <c r="F35" s="5"/>
    </row>
    <row r="37" customFormat="false" ht="15" hidden="false" customHeight="true" outlineLevel="0" collapsed="false">
      <c r="A37" s="4" t="s">
        <v>32</v>
      </c>
      <c r="B37" s="4"/>
      <c r="C37" s="4"/>
      <c r="D37" s="4"/>
      <c r="E37" s="4"/>
      <c r="F37" s="4"/>
    </row>
    <row r="38" customFormat="false" ht="15" hidden="false" customHeight="true" outlineLevel="0" collapsed="false">
      <c r="A38" s="12" t="s">
        <v>33</v>
      </c>
      <c r="B38" s="12"/>
      <c r="C38" s="12"/>
      <c r="D38" s="13" t="n">
        <f aca="false">D21</f>
        <v>7050</v>
      </c>
      <c r="E38" s="5"/>
      <c r="F38" s="5"/>
    </row>
    <row r="39" customFormat="false" ht="15" hidden="false" customHeight="true" outlineLevel="0" collapsed="false">
      <c r="A39" s="15" t="s">
        <v>30</v>
      </c>
      <c r="B39" s="15"/>
      <c r="C39" s="15"/>
      <c r="D39" s="13" t="n">
        <f aca="false">D34</f>
        <v>1095</v>
      </c>
      <c r="E39" s="7"/>
      <c r="F39" s="7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</row>
    <row r="41" customFormat="false" ht="15" hidden="false" customHeight="true" outlineLevel="0" collapsed="false">
      <c r="A41" s="16" t="s">
        <v>34</v>
      </c>
      <c r="B41" s="16"/>
      <c r="C41" s="16"/>
      <c r="D41" s="17" t="n">
        <f aca="false">IF(D39&gt;0,ROUNDUP(D38/D39,0),0)</f>
        <v>7</v>
      </c>
      <c r="E41" s="18"/>
      <c r="F41" s="18"/>
    </row>
    <row r="42" customFormat="false" ht="15" hidden="false" customHeight="true" outlineLevel="0" collapsed="false">
      <c r="A42" s="16" t="s">
        <v>35</v>
      </c>
      <c r="B42" s="16"/>
      <c r="C42" s="16"/>
      <c r="D42" s="19" t="n">
        <f aca="false">IF(D39&gt;0,ROUNDUP(D38/D39/4.33,1),0)</f>
        <v>1.5</v>
      </c>
      <c r="E42" s="18"/>
      <c r="F42" s="18"/>
    </row>
    <row r="43" customFormat="false" ht="15" hidden="false" customHeight="true" outlineLevel="0" collapsed="false">
      <c r="A43" s="16" t="s">
        <v>36</v>
      </c>
      <c r="B43" s="16"/>
      <c r="C43" s="16"/>
      <c r="D43" s="20" t="n">
        <f aca="false">D41*D33</f>
        <v>24500</v>
      </c>
      <c r="E43" s="18"/>
      <c r="F43" s="18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</row>
    <row r="45" customFormat="false" ht="15" hidden="false" customHeight="true" outlineLevel="0" collapsed="false">
      <c r="A45" s="21" t="s">
        <v>37</v>
      </c>
      <c r="B45" s="21"/>
      <c r="C45" s="21"/>
      <c r="D45" s="22" t="n">
        <v>8</v>
      </c>
      <c r="E45" s="23"/>
      <c r="F45" s="23"/>
    </row>
    <row r="46" customFormat="false" ht="15" hidden="false" customHeight="true" outlineLevel="0" collapsed="false">
      <c r="A46" s="12" t="s">
        <v>38</v>
      </c>
      <c r="B46" s="12"/>
      <c r="C46" s="12"/>
      <c r="D46" s="13" t="n">
        <f aca="false">D45*D33</f>
        <v>28000</v>
      </c>
      <c r="E46" s="5"/>
      <c r="F46" s="5"/>
    </row>
    <row r="47" customFormat="false" ht="15" hidden="false" customHeight="true" outlineLevel="0" collapsed="false">
      <c r="A47" s="15" t="s">
        <v>39</v>
      </c>
      <c r="B47" s="15"/>
      <c r="C47" s="15"/>
      <c r="D47" s="13" t="n">
        <f aca="false">(D45*D34)-D38</f>
        <v>1710</v>
      </c>
      <c r="E47" s="7"/>
      <c r="F47" s="7"/>
    </row>
    <row r="48" customFormat="false" ht="15" hidden="false" customHeight="true" outlineLevel="0" collapsed="false">
      <c r="A48" s="12" t="s">
        <v>40</v>
      </c>
      <c r="B48" s="12"/>
      <c r="C48" s="12"/>
      <c r="D48" s="13" t="n">
        <f aca="false">D47*12</f>
        <v>20520</v>
      </c>
      <c r="E48" s="5"/>
      <c r="F48" s="5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</row>
    <row r="50" customFormat="false" ht="15" hidden="false" customHeight="true" outlineLevel="0" collapsed="false">
      <c r="A50" s="12" t="s">
        <v>41</v>
      </c>
      <c r="B50" s="12"/>
      <c r="C50" s="12"/>
      <c r="D50" s="24" t="n">
        <f aca="false">D45-D41</f>
        <v>1</v>
      </c>
      <c r="E50" s="5"/>
      <c r="F50" s="5"/>
    </row>
    <row r="51" customFormat="false" ht="15" hidden="false" customHeight="true" outlineLevel="0" collapsed="false">
      <c r="A51" s="15" t="s">
        <v>42</v>
      </c>
      <c r="B51" s="15"/>
      <c r="C51" s="15"/>
      <c r="D51" s="25" t="n">
        <f aca="false">D49*D34</f>
        <v>0</v>
      </c>
      <c r="E51" s="7"/>
      <c r="F51" s="7"/>
    </row>
    <row r="53" customFormat="false" ht="15" hidden="false" customHeight="true" outlineLevel="0" collapsed="false">
      <c r="A53" s="4" t="s">
        <v>43</v>
      </c>
      <c r="B53" s="4"/>
      <c r="C53" s="4"/>
      <c r="D53" s="4"/>
      <c r="E53" s="4"/>
      <c r="F53" s="4"/>
    </row>
    <row r="54" customFormat="false" ht="23.85" hidden="false" customHeight="false" outlineLevel="0" collapsed="false">
      <c r="A54" s="26" t="s">
        <v>44</v>
      </c>
      <c r="B54" s="26" t="s">
        <v>45</v>
      </c>
      <c r="C54" s="26" t="s">
        <v>46</v>
      </c>
      <c r="D54" s="26" t="s">
        <v>47</v>
      </c>
      <c r="E54" s="26" t="s">
        <v>48</v>
      </c>
      <c r="F54" s="26" t="s">
        <v>49</v>
      </c>
    </row>
    <row r="55" customFormat="false" ht="15" hidden="false" customHeight="false" outlineLevel="0" collapsed="false">
      <c r="A55" s="27" t="n">
        <v>2</v>
      </c>
      <c r="B55" s="28" t="n">
        <f aca="false">A55*$D$33</f>
        <v>7000</v>
      </c>
      <c r="C55" s="28" t="n">
        <f aca="false">A55*$D$30</f>
        <v>4810</v>
      </c>
      <c r="D55" s="28" t="n">
        <f aca="false">$D$21</f>
        <v>7050</v>
      </c>
      <c r="E55" s="29" t="n">
        <f aca="false">B55-C55-D55</f>
        <v>-4860</v>
      </c>
      <c r="F55" s="29" t="n">
        <f aca="false">E55*12</f>
        <v>-58320</v>
      </c>
    </row>
    <row r="56" customFormat="false" ht="15" hidden="false" customHeight="false" outlineLevel="0" collapsed="false">
      <c r="A56" s="30" t="n">
        <v>3</v>
      </c>
      <c r="B56" s="13" t="n">
        <f aca="false">A56*$D$33</f>
        <v>10500</v>
      </c>
      <c r="C56" s="13" t="n">
        <f aca="false">A56*$D$30</f>
        <v>7215</v>
      </c>
      <c r="D56" s="13" t="n">
        <f aca="false">$D$21</f>
        <v>7050</v>
      </c>
      <c r="E56" s="25" t="n">
        <f aca="false">B56-C56-D56</f>
        <v>-3765</v>
      </c>
      <c r="F56" s="25" t="n">
        <f aca="false">E56*12</f>
        <v>-45180</v>
      </c>
    </row>
    <row r="57" customFormat="false" ht="15" hidden="false" customHeight="false" outlineLevel="0" collapsed="false">
      <c r="A57" s="27" t="n">
        <v>4</v>
      </c>
      <c r="B57" s="28" t="n">
        <f aca="false">A57*$D$33</f>
        <v>14000</v>
      </c>
      <c r="C57" s="28" t="n">
        <f aca="false">A57*$D$30</f>
        <v>9620</v>
      </c>
      <c r="D57" s="28" t="n">
        <f aca="false">$D$21</f>
        <v>7050</v>
      </c>
      <c r="E57" s="29" t="n">
        <f aca="false">B57-C57-D57</f>
        <v>-2670</v>
      </c>
      <c r="F57" s="29" t="n">
        <f aca="false">E57*12</f>
        <v>-32040</v>
      </c>
    </row>
    <row r="58" customFormat="false" ht="15" hidden="false" customHeight="false" outlineLevel="0" collapsed="false">
      <c r="A58" s="30" t="n">
        <v>5</v>
      </c>
      <c r="B58" s="13" t="n">
        <f aca="false">A58*$D$33</f>
        <v>17500</v>
      </c>
      <c r="C58" s="13" t="n">
        <f aca="false">A58*$D$30</f>
        <v>12025</v>
      </c>
      <c r="D58" s="13" t="n">
        <f aca="false">$D$21</f>
        <v>7050</v>
      </c>
      <c r="E58" s="25" t="n">
        <f aca="false">B58-C58-D58</f>
        <v>-1575</v>
      </c>
      <c r="F58" s="25" t="n">
        <f aca="false">E58*12</f>
        <v>-18900</v>
      </c>
    </row>
    <row r="59" customFormat="false" ht="15" hidden="false" customHeight="false" outlineLevel="0" collapsed="false">
      <c r="A59" s="27" t="n">
        <v>6</v>
      </c>
      <c r="B59" s="28" t="n">
        <f aca="false">A59*$D$33</f>
        <v>21000</v>
      </c>
      <c r="C59" s="28" t="n">
        <f aca="false">A59*$D$30</f>
        <v>14430</v>
      </c>
      <c r="D59" s="28" t="n">
        <f aca="false">$D$21</f>
        <v>7050</v>
      </c>
      <c r="E59" s="29" t="n">
        <f aca="false">B59-C59-D59</f>
        <v>-480</v>
      </c>
      <c r="F59" s="29" t="n">
        <f aca="false">E59*12</f>
        <v>-5760</v>
      </c>
    </row>
    <row r="60" customFormat="false" ht="15" hidden="false" customHeight="false" outlineLevel="0" collapsed="false">
      <c r="A60" s="30" t="n">
        <v>7</v>
      </c>
      <c r="B60" s="13" t="n">
        <f aca="false">A60*$D$33</f>
        <v>24500</v>
      </c>
      <c r="C60" s="13" t="n">
        <f aca="false">A60*$D$30</f>
        <v>16835</v>
      </c>
      <c r="D60" s="13" t="n">
        <f aca="false">$D$21</f>
        <v>7050</v>
      </c>
      <c r="E60" s="25" t="n">
        <f aca="false">B60-C60-D60</f>
        <v>615</v>
      </c>
      <c r="F60" s="25" t="n">
        <f aca="false">E60*12</f>
        <v>7380</v>
      </c>
    </row>
    <row r="61" customFormat="false" ht="15" hidden="false" customHeight="false" outlineLevel="0" collapsed="false">
      <c r="A61" s="27" t="n">
        <v>8</v>
      </c>
      <c r="B61" s="28" t="n">
        <f aca="false">A61*$D$33</f>
        <v>28000</v>
      </c>
      <c r="C61" s="28" t="n">
        <f aca="false">A61*$D$30</f>
        <v>19240</v>
      </c>
      <c r="D61" s="28" t="n">
        <f aca="false">$D$21</f>
        <v>7050</v>
      </c>
      <c r="E61" s="29" t="n">
        <f aca="false">B61-C61-D61</f>
        <v>1710</v>
      </c>
      <c r="F61" s="29" t="n">
        <f aca="false">E61*12</f>
        <v>20520</v>
      </c>
    </row>
    <row r="62" customFormat="false" ht="15" hidden="false" customHeight="false" outlineLevel="0" collapsed="false">
      <c r="A62" s="30" t="n">
        <v>9</v>
      </c>
      <c r="B62" s="13" t="n">
        <f aca="false">A62*$D$33</f>
        <v>31500</v>
      </c>
      <c r="C62" s="13" t="n">
        <f aca="false">A62*$D$30</f>
        <v>21645</v>
      </c>
      <c r="D62" s="13" t="n">
        <f aca="false">$D$21</f>
        <v>7050</v>
      </c>
      <c r="E62" s="25" t="n">
        <f aca="false">B62-C62-D62</f>
        <v>2805</v>
      </c>
      <c r="F62" s="25" t="n">
        <f aca="false">E62*12</f>
        <v>33660</v>
      </c>
    </row>
    <row r="63" customFormat="false" ht="15" hidden="false" customHeight="false" outlineLevel="0" collapsed="false">
      <c r="A63" s="27" t="n">
        <v>10</v>
      </c>
      <c r="B63" s="28" t="n">
        <f aca="false">A63*$D$33</f>
        <v>35000</v>
      </c>
      <c r="C63" s="28" t="n">
        <f aca="false">A63*$D$30</f>
        <v>24050</v>
      </c>
      <c r="D63" s="28" t="n">
        <f aca="false">$D$21</f>
        <v>7050</v>
      </c>
      <c r="E63" s="29" t="n">
        <f aca="false">B63-C63-D63</f>
        <v>3900</v>
      </c>
      <c r="F63" s="29" t="n">
        <f aca="false">E63*12</f>
        <v>46800</v>
      </c>
    </row>
    <row r="64" customFormat="false" ht="15" hidden="false" customHeight="false" outlineLevel="0" collapsed="false">
      <c r="A64" s="30" t="n">
        <v>11</v>
      </c>
      <c r="B64" s="13" t="n">
        <f aca="false">A64*$D$33</f>
        <v>38500</v>
      </c>
      <c r="C64" s="13" t="n">
        <f aca="false">A64*$D$30</f>
        <v>26455</v>
      </c>
      <c r="D64" s="13" t="n">
        <f aca="false">$D$21</f>
        <v>7050</v>
      </c>
      <c r="E64" s="25" t="n">
        <f aca="false">B64-C64-D64</f>
        <v>4995</v>
      </c>
      <c r="F64" s="25" t="n">
        <f aca="false">E64*12</f>
        <v>59940</v>
      </c>
    </row>
    <row r="65" customFormat="false" ht="15" hidden="false" customHeight="false" outlineLevel="0" collapsed="false">
      <c r="A65" s="27" t="n">
        <v>12</v>
      </c>
      <c r="B65" s="28" t="n">
        <f aca="false">A65*$D$33</f>
        <v>42000</v>
      </c>
      <c r="C65" s="28" t="n">
        <f aca="false">A65*$D$30</f>
        <v>28860</v>
      </c>
      <c r="D65" s="28" t="n">
        <f aca="false">$D$21</f>
        <v>7050</v>
      </c>
      <c r="E65" s="29" t="n">
        <f aca="false">B65-C65-D65</f>
        <v>6090</v>
      </c>
      <c r="F65" s="29" t="n">
        <f aca="false">E65*12</f>
        <v>73080</v>
      </c>
    </row>
    <row r="66" customFormat="false" ht="15" hidden="false" customHeight="false" outlineLevel="0" collapsed="false">
      <c r="A66" s="30" t="n">
        <v>13</v>
      </c>
      <c r="B66" s="13" t="n">
        <f aca="false">A66*$D$33</f>
        <v>45500</v>
      </c>
      <c r="C66" s="13" t="n">
        <f aca="false">A66*$D$30</f>
        <v>31265</v>
      </c>
      <c r="D66" s="13" t="n">
        <f aca="false">$D$21</f>
        <v>7050</v>
      </c>
      <c r="E66" s="25" t="n">
        <f aca="false">B66-C66-D66</f>
        <v>7185</v>
      </c>
      <c r="F66" s="25" t="n">
        <f aca="false">E66*12</f>
        <v>86220</v>
      </c>
    </row>
    <row r="69" customFormat="false" ht="23.85" hidden="false" customHeight="true" outlineLevel="0" collapsed="false">
      <c r="A69" s="31" t="s">
        <v>50</v>
      </c>
      <c r="B69" s="31"/>
      <c r="C69" s="31"/>
      <c r="D69" s="31"/>
      <c r="E69" s="31"/>
      <c r="F69" s="31"/>
    </row>
  </sheetData>
  <mergeCells count="46">
    <mergeCell ref="A1:F1"/>
    <mergeCell ref="A2:F2"/>
    <mergeCell ref="A3:F3"/>
    <mergeCell ref="A5:F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3:F23"/>
    <mergeCell ref="A24:C24"/>
    <mergeCell ref="A25:C25"/>
    <mergeCell ref="A26:C26"/>
    <mergeCell ref="A27:C27"/>
    <mergeCell ref="A28:C28"/>
    <mergeCell ref="A29:C29"/>
    <mergeCell ref="A30:C30"/>
    <mergeCell ref="A32:F32"/>
    <mergeCell ref="A33:C33"/>
    <mergeCell ref="A34:C34"/>
    <mergeCell ref="A35:C35"/>
    <mergeCell ref="A37:F37"/>
    <mergeCell ref="A38:C38"/>
    <mergeCell ref="A39:C39"/>
    <mergeCell ref="A41:C41"/>
    <mergeCell ref="A42:C42"/>
    <mergeCell ref="A43:C43"/>
    <mergeCell ref="A45:C45"/>
    <mergeCell ref="A46:C46"/>
    <mergeCell ref="A47:C47"/>
    <mergeCell ref="A48:C48"/>
    <mergeCell ref="A50:C50"/>
    <mergeCell ref="A51:C51"/>
    <mergeCell ref="A53:F53"/>
    <mergeCell ref="A69:F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2026-03-15T17:55:30Z</dcterms:created>
  <dc:creator>openpyxl</dc:creator>
  <dc:description/>
  <dc:language>en-US</dc:language>
  <cp:lastModifiedBy/>
  <dcterms:modified xsi:type="dcterms:W3CDTF">2026-03-15T17:55:30Z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