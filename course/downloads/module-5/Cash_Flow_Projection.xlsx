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 Proj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<sst xmlns="http://schemas.openxmlformats.org/spreadsheetml/2006/main" count="46" uniqueCount="46">
  <si>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CASH FLOW PROJECTION</t>
  </si>
  <si>
    <t xml:space="preserve">The Catering Profit System  |  Module 5  |  When does money actually hit your account?</t>
  </si>
  <si>
    <t xml:space="preserve">Profit ≠ Cash. This sheet tracks when money comes in and goes out, not when it’s earned.</t>
  </si>
  <si>
    <t xml:space="preserve">CASH FLOW TRACKING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</si>
  <si>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</si>
  <si>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</si>
  <si>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</si>
  <si>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</si>
  <si>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</si>
  <si>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</si>
  <si>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</si>
  <si>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</si>
  <si>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</si>
  <si>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</si>
  <si>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</si>
  <si>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</si>
  <si>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</si>
  <si>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OPENING CASH BALANCE</t>
  </si>
  <si>
    <t xml:space="preserve">CASH IN</t>
  </si>
  <si>
    <t xml:space="preserve">Deposits Received (new bookings)</t>
  </si>
  <si>
    <t xml:space="preserve">Final Payments (upcoming events)</t>
  </si>
  <si>
    <t xml:space="preserve">Day-of / Post-Event Payments</t>
  </si>
  <si>
    <t xml:space="preserve">Course / Product Sales</t>
  </si>
  <si>
    <t xml:space="preserve">Other Income</t>
  </si>
  <si>
    <t xml:space="preserve">TOTAL CASH IN</t>
  </si>
  <si>
    <t xml:space="preserve">CASH OUT</t>
  </si>
  <si>
    <t xml:space="preserve">Food Purchases</t>
  </si>
  <si>
    <t xml:space="preserve">Event Labor Payments</t>
  </si>
  <si>
    <t xml:space="preserve">Rent / Commissary</t>
  </si>
  <si>
    <t xml:space="preserve">Vehicle + Insurance</t>
  </si>
  <si>
    <t xml:space="preserve">Equipment / Supplies</t>
  </si>
  <si>
    <t xml:space="preserve">Marketing / Advertising</t>
  </si>
  <si>
    <t xml:space="preserve">Owner's Draw / Salary</t>
  </si>
  <si>
    <t xml:space="preserve">Taxes (estimated quarterly)</t>
  </si>
  <si>
    <t xml:space="preserve">Loan / Debt Payments</t>
  </si>
  <si>
    <t xml:space="preserve">Other Expenses</t>
  </si>
  <si>
    <t xml:space="preserve">TOTAL CASH OUT</t>
  </si>
  <si>
    <t xml:space="preserve">NET CASH FLOW (In - Out)</t>
  </si>
  <si>
    <t xml:space="preserve">CLOSING CASH BALANCE</t>
  </si>
  <si>
    <t xml:space="preserve">CASH RESERVE STATUS</t>
  </si>
  <si>
    <t xml:space="preserve">Monthly Fixed Expenses (from Break-Even)</t>
  </si>
  <si>
    <t xml:space="preserve">Recommended Reserve (3 months)</t>
  </si>
  <si>
    <t xml:space="preserve">Current Cash Balance (latest month)</t>
  </si>
  <si>
    <t xml:space="preserve">Reserve Status</t>
  </si>
  <si>
    <t xml:space="preserve">Months of Runway</t>
  </si>
  <si>
    <t xml:space="preserve">Cash flow problems kill profitable businesses. A Fractional COO engagement includes monthly cash flow reviews. trecoleman.com/services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</si>
</sst>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\$#,##0;&quot;($&quot;#,##0\)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F346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E0E0E0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E94560"/>
        <bgColor rgb="FF993366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4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/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</row>
    <row r="7" customFormat="false" ht="26.85" hidden="false" customHeight="false" outlineLevel="0" collapsed="false">
      <c r="A7" s="6" t="s">
        <v>17</v>
      </c>
      <c r="B7" s="7" t="n">
        <v>5000</v>
      </c>
      <c r="C7" s="8" t="n">
        <f aca="false">B31</f>
        <v>5000</v>
      </c>
      <c r="D7" s="8" t="n">
        <f aca="false">C31</f>
        <v>5000</v>
      </c>
      <c r="E7" s="8" t="n">
        <f aca="false">D31</f>
        <v>5000</v>
      </c>
      <c r="F7" s="8" t="n">
        <f aca="false">E31</f>
        <v>5000</v>
      </c>
      <c r="G7" s="8" t="n">
        <f aca="false">F31</f>
        <v>5000</v>
      </c>
      <c r="H7" s="8" t="n">
        <f aca="false">G31</f>
        <v>5000</v>
      </c>
      <c r="I7" s="8" t="n">
        <f aca="false">H31</f>
        <v>5000</v>
      </c>
      <c r="J7" s="8" t="n">
        <f aca="false">I31</f>
        <v>5000</v>
      </c>
      <c r="K7" s="8" t="n">
        <f aca="false">J31</f>
        <v>5000</v>
      </c>
      <c r="L7" s="8" t="n">
        <f aca="false">K31</f>
        <v>5000</v>
      </c>
      <c r="M7" s="8" t="n">
        <f aca="false">L31</f>
        <v>5000</v>
      </c>
      <c r="N7" s="9"/>
    </row>
    <row r="9" customFormat="false" ht="15" hidden="false" customHeight="true" outlineLevel="0" collapsed="false">
      <c r="A9" s="4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23.85" hidden="false" customHeight="false" outlineLevel="0" collapsed="false">
      <c r="A10" s="10" t="s">
        <v>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 t="n">
        <f aca="false">SUM(B10:M10)</f>
        <v>0</v>
      </c>
    </row>
    <row r="11" customFormat="false" ht="23.85" hidden="false" customHeight="false" outlineLevel="0" collapsed="false">
      <c r="A11" s="13" t="s">
        <v>20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 t="n">
        <f aca="false">SUM(B11:M11)</f>
        <v>0</v>
      </c>
    </row>
    <row r="12" customFormat="false" ht="23.85" hidden="false" customHeight="false" outlineLevel="0" collapsed="false">
      <c r="A12" s="10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 t="n">
        <f aca="false">SUM(B12:M12)</f>
        <v>0</v>
      </c>
    </row>
    <row r="13" customFormat="false" ht="15" hidden="false" customHeight="false" outlineLevel="0" collapsed="false">
      <c r="A13" s="13" t="s">
        <v>22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 t="n">
        <f aca="false">SUM(B13:M13)</f>
        <v>0</v>
      </c>
    </row>
    <row r="14" customFormat="false" ht="15" hidden="false" customHeight="false" outlineLevel="0" collapsed="false">
      <c r="A14" s="10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 t="n">
        <f aca="false">SUM(B14:M14)</f>
        <v>0</v>
      </c>
    </row>
    <row r="15" customFormat="false" ht="15" hidden="false" customHeight="false" outlineLevel="0" collapsed="false">
      <c r="A15" s="16" t="s">
        <v>24</v>
      </c>
      <c r="B15" s="17" t="n">
        <f aca="false">SUM(B10:B14)</f>
        <v>0</v>
      </c>
      <c r="C15" s="17" t="n">
        <f aca="false">SUM(C10:C14)</f>
        <v>0</v>
      </c>
      <c r="D15" s="17" t="n">
        <f aca="false">SUM(D10:D14)</f>
        <v>0</v>
      </c>
      <c r="E15" s="17" t="n">
        <f aca="false">SUM(E10:E14)</f>
        <v>0</v>
      </c>
      <c r="F15" s="17" t="n">
        <f aca="false">SUM(F10:F14)</f>
        <v>0</v>
      </c>
      <c r="G15" s="17" t="n">
        <f aca="false">SUM(G10:G14)</f>
        <v>0</v>
      </c>
      <c r="H15" s="17" t="n">
        <f aca="false">SUM(H10:H14)</f>
        <v>0</v>
      </c>
      <c r="I15" s="17" t="n">
        <f aca="false">SUM(I10:I14)</f>
        <v>0</v>
      </c>
      <c r="J15" s="17" t="n">
        <f aca="false">SUM(J10:J14)</f>
        <v>0</v>
      </c>
      <c r="K15" s="17" t="n">
        <f aca="false">SUM(K10:K14)</f>
        <v>0</v>
      </c>
      <c r="L15" s="17" t="n">
        <f aca="false">SUM(L10:L14)</f>
        <v>0</v>
      </c>
      <c r="M15" s="17" t="n">
        <f aca="false">SUM(M10:M14)</f>
        <v>0</v>
      </c>
      <c r="N15" s="17" t="n">
        <f aca="false">SUM(B15:M15)</f>
        <v>0</v>
      </c>
    </row>
    <row r="17" customFormat="false" ht="15" hidden="false" customHeight="true" outlineLevel="0" collapsed="false">
      <c r="A17" s="4" t="s">
        <v>25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0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 t="n">
        <f aca="false">SUM(B18:M18)</f>
        <v>0</v>
      </c>
    </row>
    <row r="19" customFormat="false" ht="15" hidden="false" customHeight="false" outlineLevel="0" collapsed="false">
      <c r="A19" s="13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 t="n">
        <f aca="false">SUM(B19:M19)</f>
        <v>0</v>
      </c>
    </row>
    <row r="20" customFormat="false" ht="15" hidden="false" customHeight="false" outlineLevel="0" collapsed="false">
      <c r="A20" s="10" t="s">
        <v>28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 t="n">
        <f aca="false">SUM(B20:M20)</f>
        <v>0</v>
      </c>
    </row>
    <row r="21" customFormat="false" ht="15" hidden="false" customHeight="false" outlineLevel="0" collapsed="false">
      <c r="A21" s="13" t="s">
        <v>29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 t="n">
        <f aca="false">SUM(B21:M21)</f>
        <v>0</v>
      </c>
    </row>
    <row r="22" customFormat="false" ht="15" hidden="false" customHeight="false" outlineLevel="0" collapsed="false">
      <c r="A22" s="10" t="s">
        <v>30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 t="n">
        <f aca="false">SUM(B22:M22)</f>
        <v>0</v>
      </c>
    </row>
    <row r="23" customFormat="false" ht="15" hidden="false" customHeight="false" outlineLevel="0" collapsed="false">
      <c r="A23" s="13" t="s">
        <v>31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 t="n">
        <f aca="false">SUM(B23:M23)</f>
        <v>0</v>
      </c>
    </row>
    <row r="24" customFormat="false" ht="15" hidden="false" customHeight="false" outlineLevel="0" collapsed="false">
      <c r="A24" s="10" t="s">
        <v>32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 t="n">
        <f aca="false">SUM(B24:M24)</f>
        <v>0</v>
      </c>
    </row>
    <row r="25" customFormat="false" ht="15" hidden="false" customHeight="false" outlineLevel="0" collapsed="false">
      <c r="A25" s="13" t="s">
        <v>33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 t="n">
        <f aca="false">SUM(B25:M25)</f>
        <v>0</v>
      </c>
    </row>
    <row r="26" customFormat="false" ht="15" hidden="false" customHeight="false" outlineLevel="0" collapsed="false">
      <c r="A26" s="10" t="s">
        <v>34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 t="n">
        <f aca="false">SUM(B26:M26)</f>
        <v>0</v>
      </c>
    </row>
    <row r="27" customFormat="false" ht="15" hidden="false" customHeight="false" outlineLevel="0" collapsed="false">
      <c r="A27" s="13" t="s">
        <v>35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 t="n">
        <f aca="false">SUM(B27:M27)</f>
        <v>0</v>
      </c>
    </row>
    <row r="28" customFormat="false" ht="15" hidden="false" customHeight="false" outlineLevel="0" collapsed="false">
      <c r="A28" s="16" t="s">
        <v>36</v>
      </c>
      <c r="B28" s="17" t="n">
        <f aca="false">SUM(B18:B27)</f>
        <v>0</v>
      </c>
      <c r="C28" s="17" t="n">
        <f aca="false">SUM(C18:C27)</f>
        <v>0</v>
      </c>
      <c r="D28" s="17" t="n">
        <f aca="false">SUM(D18:D27)</f>
        <v>0</v>
      </c>
      <c r="E28" s="17" t="n">
        <f aca="false">SUM(E18:E27)</f>
        <v>0</v>
      </c>
      <c r="F28" s="17" t="n">
        <f aca="false">SUM(F18:F27)</f>
        <v>0</v>
      </c>
      <c r="G28" s="17" t="n">
        <f aca="false">SUM(G18:G27)</f>
        <v>0</v>
      </c>
      <c r="H28" s="17" t="n">
        <f aca="false">SUM(H18:H27)</f>
        <v>0</v>
      </c>
      <c r="I28" s="17" t="n">
        <f aca="false">SUM(I18:I27)</f>
        <v>0</v>
      </c>
      <c r="J28" s="17" t="n">
        <f aca="false">SUM(J18:J27)</f>
        <v>0</v>
      </c>
      <c r="K28" s="17" t="n">
        <f aca="false">SUM(K18:K27)</f>
        <v>0</v>
      </c>
      <c r="L28" s="17" t="n">
        <f aca="false">SUM(L18:L27)</f>
        <v>0</v>
      </c>
      <c r="M28" s="17" t="n">
        <f aca="false">SUM(M18:M27)</f>
        <v>0</v>
      </c>
      <c r="N28" s="17" t="n">
        <f aca="false">SUM(B28:M28)</f>
        <v>0</v>
      </c>
    </row>
    <row r="30" customFormat="false" ht="26.85" hidden="false" customHeight="false" outlineLevel="0" collapsed="false">
      <c r="A30" s="18" t="s">
        <v>37</v>
      </c>
      <c r="B30" s="19" t="n">
        <f aca="false">B15-B28</f>
        <v>0</v>
      </c>
      <c r="C30" s="19" t="n">
        <f aca="false">C15-C28</f>
        <v>0</v>
      </c>
      <c r="D30" s="19" t="n">
        <f aca="false">D15-D28</f>
        <v>0</v>
      </c>
      <c r="E30" s="19" t="n">
        <f aca="false">E15-E28</f>
        <v>0</v>
      </c>
      <c r="F30" s="19" t="n">
        <f aca="false">F15-F28</f>
        <v>0</v>
      </c>
      <c r="G30" s="19" t="n">
        <f aca="false">G15-G28</f>
        <v>0</v>
      </c>
      <c r="H30" s="19" t="n">
        <f aca="false">H15-H28</f>
        <v>0</v>
      </c>
      <c r="I30" s="19" t="n">
        <f aca="false">I15-I28</f>
        <v>0</v>
      </c>
      <c r="J30" s="19" t="n">
        <f aca="false">J15-J28</f>
        <v>0</v>
      </c>
      <c r="K30" s="19" t="n">
        <f aca="false">K15-K28</f>
        <v>0</v>
      </c>
      <c r="L30" s="19" t="n">
        <f aca="false">L15-L28</f>
        <v>0</v>
      </c>
      <c r="M30" s="19" t="n">
        <f aca="false">M15-M28</f>
        <v>0</v>
      </c>
      <c r="N30" s="19" t="n">
        <f aca="false">SUM(B30:M30)</f>
        <v>0</v>
      </c>
    </row>
    <row r="31" customFormat="false" ht="26.85" hidden="false" customHeight="false" outlineLevel="0" collapsed="false">
      <c r="A31" s="20" t="s">
        <v>38</v>
      </c>
      <c r="B31" s="21" t="n">
        <f aca="false">B7+B30</f>
        <v>5000</v>
      </c>
      <c r="C31" s="21" t="n">
        <f aca="false">C7+C30</f>
        <v>5000</v>
      </c>
      <c r="D31" s="21" t="n">
        <f aca="false">D7+D30</f>
        <v>5000</v>
      </c>
      <c r="E31" s="21" t="n">
        <f aca="false">E7+E30</f>
        <v>5000</v>
      </c>
      <c r="F31" s="21" t="n">
        <f aca="false">F7+F30</f>
        <v>5000</v>
      </c>
      <c r="G31" s="21" t="n">
        <f aca="false">G7+G30</f>
        <v>5000</v>
      </c>
      <c r="H31" s="21" t="n">
        <f aca="false">H7+H30</f>
        <v>5000</v>
      </c>
      <c r="I31" s="21" t="n">
        <f aca="false">I7+I30</f>
        <v>5000</v>
      </c>
      <c r="J31" s="21" t="n">
        <f aca="false">J7+J30</f>
        <v>5000</v>
      </c>
      <c r="K31" s="21" t="n">
        <f aca="false">K7+K30</f>
        <v>5000</v>
      </c>
      <c r="L31" s="21" t="n">
        <f aca="false">L7+L30</f>
        <v>5000</v>
      </c>
      <c r="M31" s="21" t="n">
        <f aca="false">M7+M30</f>
        <v>5000</v>
      </c>
      <c r="N31" s="22"/>
    </row>
    <row r="33" customFormat="false" ht="15" hidden="false" customHeight="true" outlineLevel="0" collapsed="false">
      <c r="A33" s="4" t="s">
        <v>39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true" outlineLevel="0" collapsed="false">
      <c r="A34" s="23" t="s">
        <v>40</v>
      </c>
      <c r="B34" s="23"/>
      <c r="C34" s="23"/>
      <c r="D34" s="23"/>
      <c r="E34" s="11" t="n">
        <v>7050</v>
      </c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5" hidden="false" customHeight="true" outlineLevel="0" collapsed="false">
      <c r="A35" s="24" t="s">
        <v>41</v>
      </c>
      <c r="B35" s="24"/>
      <c r="C35" s="24"/>
      <c r="D35" s="24"/>
      <c r="E35" s="15" t="n">
        <f aca="false">D34*3</f>
        <v>0</v>
      </c>
      <c r="F35" s="13"/>
      <c r="G35" s="13"/>
      <c r="H35" s="13"/>
      <c r="I35" s="13"/>
      <c r="J35" s="13"/>
      <c r="K35" s="13"/>
      <c r="L35" s="13"/>
      <c r="M35" s="13"/>
      <c r="N35" s="13"/>
    </row>
    <row r="36" customFormat="false" ht="15" hidden="false" customHeight="true" outlineLevel="0" collapsed="false">
      <c r="A36" s="23" t="s">
        <v>42</v>
      </c>
      <c r="B36" s="23"/>
      <c r="C36" s="23"/>
      <c r="D36" s="23"/>
      <c r="E36" s="12" t="n">
        <f aca="false">LOOKUP(2,1/(B31:M31&lt;&gt;""),B31:M31)</f>
        <v>5000</v>
      </c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5" hidden="false" customHeight="true" outlineLevel="0" collapsed="false">
      <c r="A37" s="24" t="s">
        <v>43</v>
      </c>
      <c r="B37" s="24"/>
      <c r="C37" s="24"/>
      <c r="D37" s="24"/>
      <c r="E37" s="25" t="str">
        <f aca="false">IF(E36&gt;=E35,"HEALTHY","BELOW TARGET")</f>
        <v>HEALTHY</v>
      </c>
      <c r="F37" s="13"/>
      <c r="G37" s="13"/>
      <c r="H37" s="13"/>
      <c r="I37" s="13"/>
      <c r="J37" s="13"/>
      <c r="K37" s="13"/>
      <c r="L37" s="13"/>
      <c r="M37" s="13"/>
      <c r="N37" s="13"/>
    </row>
    <row r="38" customFormat="false" ht="15" hidden="false" customHeight="true" outlineLevel="0" collapsed="false">
      <c r="A38" s="23" t="s">
        <v>44</v>
      </c>
      <c r="B38" s="23"/>
      <c r="C38" s="23"/>
      <c r="D38" s="23"/>
      <c r="E38" s="26" t="n">
        <f aca="false">IF(D34&gt;0,E36/D34,0)</f>
        <v>0</v>
      </c>
      <c r="F38" s="10"/>
      <c r="G38" s="10"/>
      <c r="H38" s="10"/>
      <c r="I38" s="10"/>
      <c r="J38" s="10"/>
      <c r="K38" s="10"/>
      <c r="L38" s="10"/>
      <c r="M38" s="10"/>
      <c r="N38" s="10"/>
    </row>
    <row r="41" customFormat="false" ht="15" hidden="false" customHeight="true" outlineLevel="0" collapsed="false">
      <c r="A41" s="27" t="s">
        <v>45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</sheetData>
  <mergeCells count="13">
    <mergeCell ref="A1:N1"/>
    <mergeCell ref="A2:N2"/>
    <mergeCell ref="A3:N3"/>
    <mergeCell ref="A5:N5"/>
    <mergeCell ref="A9:N9"/>
    <mergeCell ref="A17:N17"/>
    <mergeCell ref="A33:N33"/>
    <mergeCell ref="A34:D34"/>
    <mergeCell ref="A35:D35"/>
    <mergeCell ref="A36:D36"/>
    <mergeCell ref="A37:D37"/>
    <mergeCell ref="A38:D38"/>
    <mergeCell ref="A41:N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2026-03-15T17:55:30Z</dcterms:created>
  <dc:creator>openpyxl</dc:creator>
  <dc:description/>
  <dc:language>en-US</dc:language>
  <cp:lastModifiedBy/>
  <dcterms:modified xsi:type="dcterms:W3CDTF">2026-03-15T17:55:44Z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