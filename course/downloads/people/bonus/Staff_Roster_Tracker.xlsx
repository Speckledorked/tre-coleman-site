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 Ro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<sst xmlns="http://schemas.openxmlformats.org/spreadsheetml/2006/main" count="47" uniqueCount="40">
  <si>
    <t xml:space="preserve">STAFF ROSTER TRACKER</t>
  </si>
  <si>
    <t xml:space="preserve">The Catering People System | Bonus 2 | Who's on your team, when they can work, and who you can count on</t>
  </si>
  <si>
    <t xml:space="preserve">Shaded cells = your inputs | Y = available that day. Reliability updates from shifts worked vs. late/no-show. Row 1 is a filled example.</t>
  </si>
  <si>
    <t xml:space="preserve">Name</t>
  </si>
  <si>
    <t xml:space="preserve">Role</t>
  </si>
  <si>
    <t xml:space="preserve">Phone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</si>
  <si>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</si>
  <si>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</si>
  <si>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</si>
  <si>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</si>
  <si>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</si>
  <si>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</si>
  <si>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</si>
  <si>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Food cert expires</t>
  </si>
  <si>
    <t xml:space="preserve">Shifts (90 days)</t>
  </si>
  <si>
    <t xml:space="preserve">Lates</t>
  </si>
  <si>
    <t xml:space="preserve">No-shows</t>
  </si>
  <si>
    <t xml:space="preserve">Reliability</t>
  </si>
  <si>
    <t xml:space="preserve">Status</t>
  </si>
  <si>
    <t xml:space="preserve">Notes</t>
  </si>
  <si>
    <t xml:space="preserve">Tasha M.</t>
  </si>
  <si>
    <t xml:space="preserve">Event Captain</t>
  </si>
  <si>
    <t xml:space="preserve">555-0142</t>
  </si>
  <si>
    <t xml:space="preserve">Y</t>
  </si>
  <si>
    <t xml:space="preserve">Active</t>
  </si>
  <si>
    <t xml:space="preserve">Trainer; wants more weekday events</t>
  </si>
  <si>
    <t xml:space="preserve">BENCH SUMMARY</t>
  </si>
  <si>
    <t xml:space="preserve">Bench</t>
  </si>
  <si>
    <t xml:space="preserve">Available Saturdays</t>
  </si>
  <si>
    <t xml:space="preserve">Lead Cook</t>
  </si>
  <si>
    <t xml:space="preserve">Available weekdays (any)</t>
  </si>
  <si>
    <t xml:space="preserve">Prep Cook</t>
  </si>
  <si>
    <t xml:space="preserve">Certifications expiring in 60 days</t>
  </si>
  <si>
    <t xml:space="preserve">Event Server</t>
  </si>
  <si>
    <t xml:space="preserve">Reliability: At risk</t>
  </si>
  <si>
    <t xml:space="preserve">Bartender</t>
  </si>
  <si>
    <t xml:space="preserve">Driver</t>
  </si>
  <si>
    <t xml:space="preserve">Rule of thumb: keep 1.5x the people you need for your biggest event on the bench for each role. Part-timers have other lives.</t>
  </si>
  <si>
    <t xml:space="preserve">Reliability: Solid = no no-shows and lates under 15% of shifts. Watch = 1 no-show or frequent lates. At risk = 2+ no-shows.</t>
  </si>
  <si>
    <t xml:space="preserve">The Catering People System | Bonus 2: Team Communication Toolkit | trecoleman.com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</si>
</sst>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i val="true"/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F4F1EA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1A1917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121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10" min="4" style="0" width="7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22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</row>
    <row r="6" customFormat="false" ht="22.35" hidden="false" customHeight="false" outlineLevel="0" collapsed="false">
      <c r="A6" s="6" t="s">
        <v>20</v>
      </c>
      <c r="B6" s="6" t="s">
        <v>21</v>
      </c>
      <c r="C6" s="6" t="s">
        <v>22</v>
      </c>
      <c r="D6" s="6"/>
      <c r="E6" s="6" t="s">
        <v>23</v>
      </c>
      <c r="F6" s="6" t="s">
        <v>23</v>
      </c>
      <c r="G6" s="6" t="s">
        <v>23</v>
      </c>
      <c r="H6" s="6" t="s">
        <v>23</v>
      </c>
      <c r="I6" s="6" t="s">
        <v>23</v>
      </c>
      <c r="J6" s="6"/>
      <c r="K6" s="7" t="n">
        <v>46447</v>
      </c>
      <c r="L6" s="8" t="n">
        <v>18</v>
      </c>
      <c r="M6" s="8" t="n">
        <v>0</v>
      </c>
      <c r="N6" s="8" t="n">
        <v>0</v>
      </c>
      <c r="O6" s="9" t="str">
        <f aca="false">IF(OR(A6="",L6=""),"",IF(L6=0,"New",IF(N6&gt;=2,"At risk",IF(OR(N6=1,M6/L6&gt;0.15),"Watch","Solid"))))</f>
        <v>Solid</v>
      </c>
      <c r="P6" s="6" t="s">
        <v>24</v>
      </c>
      <c r="Q6" s="6" t="s">
        <v>25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7"/>
      <c r="L7" s="8"/>
      <c r="M7" s="8"/>
      <c r="N7" s="8"/>
      <c r="O7" s="9" t="str">
        <f aca="false">IF(OR(A7="",L7=""),"",IF(L7=0,"New",IF(N7&gt;=2,"At risk",IF(OR(N7=1,M7/L7&gt;0.15),"Watch","Solid"))))</f>
        <v/>
      </c>
      <c r="P7" s="6"/>
      <c r="Q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8"/>
      <c r="M8" s="8"/>
      <c r="N8" s="8"/>
      <c r="O8" s="9" t="str">
        <f aca="false">IF(OR(A8="",L8=""),"",IF(L8=0,"New",IF(N8&gt;=2,"At risk",IF(OR(N8=1,M8/L8&gt;0.15),"Watch","Solid"))))</f>
        <v/>
      </c>
      <c r="P8" s="6"/>
      <c r="Q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7"/>
      <c r="L9" s="8"/>
      <c r="M9" s="8"/>
      <c r="N9" s="8"/>
      <c r="O9" s="9" t="str">
        <f aca="false">IF(OR(A9="",L9=""),"",IF(L9=0,"New",IF(N9&gt;=2,"At risk",IF(OR(N9=1,M9/L9&gt;0.15),"Watch","Solid"))))</f>
        <v/>
      </c>
      <c r="P9" s="6"/>
      <c r="Q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8"/>
      <c r="M10" s="8"/>
      <c r="N10" s="8"/>
      <c r="O10" s="9" t="str">
        <f aca="false">IF(OR(A10="",L10=""),"",IF(L10=0,"New",IF(N10&gt;=2,"At risk",IF(OR(N10=1,M10/L10&gt;0.15),"Watch","Solid"))))</f>
        <v/>
      </c>
      <c r="P10" s="6"/>
      <c r="Q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8"/>
      <c r="M11" s="8"/>
      <c r="N11" s="8"/>
      <c r="O11" s="9" t="str">
        <f aca="false">IF(OR(A11="",L11=""),"",IF(L11=0,"New",IF(N11&gt;=2,"At risk",IF(OR(N11=1,M11/L11&gt;0.15),"Watch","Solid"))))</f>
        <v/>
      </c>
      <c r="P11" s="6"/>
      <c r="Q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8"/>
      <c r="M12" s="8"/>
      <c r="N12" s="8"/>
      <c r="O12" s="9" t="str">
        <f aca="false">IF(OR(A12="",L12=""),"",IF(L12=0,"New",IF(N12&gt;=2,"At risk",IF(OR(N12=1,M12/L12&gt;0.15),"Watch","Solid"))))</f>
        <v/>
      </c>
      <c r="P12" s="6"/>
      <c r="Q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8"/>
      <c r="M13" s="8"/>
      <c r="N13" s="8"/>
      <c r="O13" s="9" t="str">
        <f aca="false">IF(OR(A13="",L13=""),"",IF(L13=0,"New",IF(N13&gt;=2,"At risk",IF(OR(N13=1,M13/L13&gt;0.15),"Watch","Solid"))))</f>
        <v/>
      </c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8"/>
      <c r="M14" s="8"/>
      <c r="N14" s="8"/>
      <c r="O14" s="9" t="str">
        <f aca="false">IF(OR(A14="",L14=""),"",IF(L14=0,"New",IF(N14&gt;=2,"At risk",IF(OR(N14=1,M14/L14&gt;0.15),"Watch","Solid"))))</f>
        <v/>
      </c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8"/>
      <c r="M15" s="8"/>
      <c r="N15" s="8"/>
      <c r="O15" s="9" t="str">
        <f aca="false">IF(OR(A15="",L15=""),"",IF(L15=0,"New",IF(N15&gt;=2,"At risk",IF(OR(N15=1,M15/L15&gt;0.15),"Watch","Solid"))))</f>
        <v/>
      </c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8"/>
      <c r="M16" s="8"/>
      <c r="N16" s="8"/>
      <c r="O16" s="9" t="str">
        <f aca="false">IF(OR(A16="",L16=""),"",IF(L16=0,"New",IF(N16&gt;=2,"At risk",IF(OR(N16=1,M16/L16&gt;0.15),"Watch","Solid"))))</f>
        <v/>
      </c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  <c r="M17" s="8"/>
      <c r="N17" s="8"/>
      <c r="O17" s="9" t="str">
        <f aca="false">IF(OR(A17="",L17=""),"",IF(L17=0,"New",IF(N17&gt;=2,"At risk",IF(OR(N17=1,M17/L17&gt;0.15),"Watch","Solid"))))</f>
        <v/>
      </c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8"/>
      <c r="M18" s="8"/>
      <c r="N18" s="8"/>
      <c r="O18" s="9" t="str">
        <f aca="false">IF(OR(A18="",L18=""),"",IF(L18=0,"New",IF(N18&gt;=2,"At risk",IF(OR(N18=1,M18/L18&gt;0.15),"Watch","Solid"))))</f>
        <v/>
      </c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8"/>
      <c r="M19" s="8"/>
      <c r="N19" s="8"/>
      <c r="O19" s="9" t="str">
        <f aca="false">IF(OR(A19="",L19=""),"",IF(L19=0,"New",IF(N19&gt;=2,"At risk",IF(OR(N19=1,M19/L19&gt;0.15),"Watch","Solid"))))</f>
        <v/>
      </c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8"/>
      <c r="M20" s="8"/>
      <c r="N20" s="8"/>
      <c r="O20" s="9" t="str">
        <f aca="false">IF(OR(A20="",L20=""),"",IF(L20=0,"New",IF(N20&gt;=2,"At risk",IF(OR(N20=1,M20/L20&gt;0.15),"Watch","Solid"))))</f>
        <v/>
      </c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8"/>
      <c r="M21" s="8"/>
      <c r="N21" s="8"/>
      <c r="O21" s="9" t="str">
        <f aca="false">IF(OR(A21="",L21=""),"",IF(L21=0,"New",IF(N21&gt;=2,"At risk",IF(OR(N21=1,M21/L21&gt;0.15),"Watch","Solid"))))</f>
        <v/>
      </c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8"/>
      <c r="M22" s="8"/>
      <c r="N22" s="8"/>
      <c r="O22" s="9" t="str">
        <f aca="false">IF(OR(A22="",L22=""),"",IF(L22=0,"New",IF(N22&gt;=2,"At risk",IF(OR(N22=1,M22/L22&gt;0.15),"Watch","Solid"))))</f>
        <v/>
      </c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8"/>
      <c r="M23" s="8"/>
      <c r="N23" s="8"/>
      <c r="O23" s="9" t="str">
        <f aca="false">IF(OR(A23="",L23=""),"",IF(L23=0,"New",IF(N23&gt;=2,"At risk",IF(OR(N23=1,M23/L23&gt;0.15),"Watch","Solid"))))</f>
        <v/>
      </c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8"/>
      <c r="M24" s="8"/>
      <c r="N24" s="8"/>
      <c r="O24" s="9" t="str">
        <f aca="false">IF(OR(A24="",L24=""),"",IF(L24=0,"New",IF(N24&gt;=2,"At risk",IF(OR(N24=1,M24/L24&gt;0.15),"Watch","Solid"))))</f>
        <v/>
      </c>
      <c r="P24" s="6"/>
      <c r="Q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7"/>
      <c r="L25" s="8"/>
      <c r="M25" s="8"/>
      <c r="N25" s="8"/>
      <c r="O25" s="9" t="str">
        <f aca="false">IF(OR(A25="",L25=""),"",IF(L25=0,"New",IF(N25&gt;=2,"At risk",IF(OR(N25=1,M25/L25&gt;0.15),"Watch","Solid"))))</f>
        <v/>
      </c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8"/>
      <c r="M26" s="8"/>
      <c r="N26" s="8"/>
      <c r="O26" s="9" t="str">
        <f aca="false">IF(OR(A26="",L26=""),"",IF(L26=0,"New",IF(N26&gt;=2,"At risk",IF(OR(N26=1,M26/L26&gt;0.15),"Watch","Solid"))))</f>
        <v/>
      </c>
      <c r="P26" s="6"/>
      <c r="Q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7"/>
      <c r="L27" s="8"/>
      <c r="M27" s="8"/>
      <c r="N27" s="8"/>
      <c r="O27" s="9" t="str">
        <f aca="false">IF(OR(A27="",L27=""),"",IF(L27=0,"New",IF(N27&gt;=2,"At risk",IF(OR(N27=1,M27/L27&gt;0.15),"Watch","Solid"))))</f>
        <v/>
      </c>
      <c r="P27" s="6"/>
      <c r="Q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  <c r="L28" s="8"/>
      <c r="M28" s="8"/>
      <c r="N28" s="8"/>
      <c r="O28" s="9" t="str">
        <f aca="false">IF(OR(A28="",L28=""),"",IF(L28=0,"New",IF(N28&gt;=2,"At risk",IF(OR(N28=1,M28/L28&gt;0.15),"Watch","Solid"))))</f>
        <v/>
      </c>
      <c r="P28" s="6"/>
      <c r="Q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  <c r="L29" s="8"/>
      <c r="M29" s="8"/>
      <c r="N29" s="8"/>
      <c r="O29" s="9" t="str">
        <f aca="false">IF(OR(A29="",L29=""),"",IF(L29=0,"New",IF(N29&gt;=2,"At risk",IF(OR(N29=1,M29/L29&gt;0.15),"Watch","Solid"))))</f>
        <v/>
      </c>
      <c r="P29" s="6"/>
      <c r="Q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  <c r="L30" s="8"/>
      <c r="M30" s="8"/>
      <c r="N30" s="8"/>
      <c r="O30" s="9" t="str">
        <f aca="false">IF(OR(A30="",L30=""),"",IF(L30=0,"New",IF(N30&gt;=2,"At risk",IF(OR(N30=1,M30/L30&gt;0.15),"Watch","Solid"))))</f>
        <v/>
      </c>
      <c r="P30" s="6"/>
      <c r="Q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8"/>
      <c r="M31" s="8"/>
      <c r="N31" s="8"/>
      <c r="O31" s="9" t="str">
        <f aca="false">IF(OR(A31="",L31=""),"",IF(L31=0,"New",IF(N31&gt;=2,"At risk",IF(OR(N31=1,M31/L31&gt;0.15),"Watch","Solid"))))</f>
        <v/>
      </c>
      <c r="P31" s="6"/>
      <c r="Q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7"/>
      <c r="L32" s="8"/>
      <c r="M32" s="8"/>
      <c r="N32" s="8"/>
      <c r="O32" s="9" t="str">
        <f aca="false">IF(OR(A32="",L32=""),"",IF(L32=0,"New",IF(N32&gt;=2,"At risk",IF(OR(N32=1,M32/L32&gt;0.15),"Watch","Solid"))))</f>
        <v/>
      </c>
      <c r="P32" s="6"/>
      <c r="Q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7"/>
      <c r="L33" s="8"/>
      <c r="M33" s="8"/>
      <c r="N33" s="8"/>
      <c r="O33" s="9" t="str">
        <f aca="false">IF(OR(A33="",L33=""),"",IF(L33=0,"New",IF(N33&gt;=2,"At risk",IF(OR(N33=1,M33/L33&gt;0.15),"Watch","Solid"))))</f>
        <v/>
      </c>
      <c r="P33" s="6"/>
      <c r="Q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7"/>
      <c r="L34" s="8"/>
      <c r="M34" s="8"/>
      <c r="N34" s="8"/>
      <c r="O34" s="9" t="str">
        <f aca="false">IF(OR(A34="",L34=""),"",IF(L34=0,"New",IF(N34&gt;=2,"At risk",IF(OR(N34=1,M34/L34&gt;0.15),"Watch","Solid"))))</f>
        <v/>
      </c>
      <c r="P34" s="6"/>
      <c r="Q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7"/>
      <c r="L35" s="8"/>
      <c r="M35" s="8"/>
      <c r="N35" s="8"/>
      <c r="O35" s="9" t="str">
        <f aca="false">IF(OR(A35="",L35=""),"",IF(L35=0,"New",IF(N35&gt;=2,"At risk",IF(OR(N35=1,M35/L35&gt;0.15),"Watch","Solid"))))</f>
        <v/>
      </c>
      <c r="P35" s="6"/>
      <c r="Q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7"/>
      <c r="L36" s="8"/>
      <c r="M36" s="8"/>
      <c r="N36" s="8"/>
      <c r="O36" s="9" t="str">
        <f aca="false">IF(OR(A36="",L36=""),"",IF(L36=0,"New",IF(N36&gt;=2,"At risk",IF(OR(N36=1,M36/L36&gt;0.15),"Watch","Solid"))))</f>
        <v/>
      </c>
      <c r="P36" s="6"/>
      <c r="Q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7"/>
      <c r="L37" s="8"/>
      <c r="M37" s="8"/>
      <c r="N37" s="8"/>
      <c r="O37" s="9" t="str">
        <f aca="false">IF(OR(A37="",L37=""),"",IF(L37=0,"New",IF(N37&gt;=2,"At risk",IF(OR(N37=1,M37/L37&gt;0.15),"Watch","Solid"))))</f>
        <v/>
      </c>
      <c r="P37" s="6"/>
      <c r="Q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7"/>
      <c r="L38" s="8"/>
      <c r="M38" s="8"/>
      <c r="N38" s="8"/>
      <c r="O38" s="9" t="str">
        <f aca="false">IF(OR(A38="",L38=""),"",IF(L38=0,"New",IF(N38&gt;=2,"At risk",IF(OR(N38=1,M38/L38&gt;0.15),"Watch","Solid"))))</f>
        <v/>
      </c>
      <c r="P38" s="6"/>
      <c r="Q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7"/>
      <c r="L39" s="8"/>
      <c r="M39" s="8"/>
      <c r="N39" s="8"/>
      <c r="O39" s="9" t="str">
        <f aca="false">IF(OR(A39="",L39=""),"",IF(L39=0,"New",IF(N39&gt;=2,"At risk",IF(OR(N39=1,M39/L39&gt;0.15),"Watch","Solid"))))</f>
        <v/>
      </c>
      <c r="P39" s="6"/>
      <c r="Q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7"/>
      <c r="L40" s="8"/>
      <c r="M40" s="8"/>
      <c r="N40" s="8"/>
      <c r="O40" s="9" t="str">
        <f aca="false">IF(OR(A40="",L40=""),"",IF(L40=0,"New",IF(N40&gt;=2,"At risk",IF(OR(N40=1,M40/L40&gt;0.15),"Watch","Solid"))))</f>
        <v/>
      </c>
      <c r="P40" s="6"/>
      <c r="Q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7"/>
      <c r="L41" s="8"/>
      <c r="M41" s="8"/>
      <c r="N41" s="8"/>
      <c r="O41" s="9" t="str">
        <f aca="false">IF(OR(A41="",L41=""),"",IF(L41=0,"New",IF(N41&gt;=2,"At risk",IF(OR(N41=1,M41/L41&gt;0.15),"Watch","Solid"))))</f>
        <v/>
      </c>
      <c r="P41" s="6"/>
      <c r="Q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8"/>
      <c r="M42" s="8"/>
      <c r="N42" s="8"/>
      <c r="O42" s="9" t="str">
        <f aca="false">IF(OR(A42="",L42=""),"",IF(L42=0,"New",IF(N42&gt;=2,"At risk",IF(OR(N42=1,M42/L42&gt;0.15),"Watch","Solid"))))</f>
        <v/>
      </c>
      <c r="P42" s="6"/>
      <c r="Q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7"/>
      <c r="L43" s="8"/>
      <c r="M43" s="8"/>
      <c r="N43" s="8"/>
      <c r="O43" s="9" t="str">
        <f aca="false">IF(OR(A43="",L43=""),"",IF(L43=0,"New",IF(N43&gt;=2,"At risk",IF(OR(N43=1,M43/L43&gt;0.15),"Watch","Solid"))))</f>
        <v/>
      </c>
      <c r="P43" s="6"/>
      <c r="Q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7"/>
      <c r="L44" s="8"/>
      <c r="M44" s="8"/>
      <c r="N44" s="8"/>
      <c r="O44" s="9" t="str">
        <f aca="false">IF(OR(A44="",L44=""),"",IF(L44=0,"New",IF(N44&gt;=2,"At risk",IF(OR(N44=1,M44/L44&gt;0.15),"Watch","Solid"))))</f>
        <v/>
      </c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7"/>
      <c r="L45" s="8"/>
      <c r="M45" s="8"/>
      <c r="N45" s="8"/>
      <c r="O45" s="9" t="str">
        <f aca="false">IF(OR(A45="",L45=""),"",IF(L45=0,"New",IF(N45&gt;=2,"At risk",IF(OR(N45=1,M45/L45&gt;0.15),"Watch","Solid"))))</f>
        <v/>
      </c>
      <c r="P45" s="6"/>
      <c r="Q45" s="6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9.5" hidden="false" customHeight="true" outlineLevel="0" collapsed="false">
      <c r="A47" s="10" t="s">
        <v>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customFormat="false" ht="30" hidden="false" customHeight="true" outlineLevel="0" collapsed="false">
      <c r="A48" s="5" t="s">
        <v>4</v>
      </c>
      <c r="B48" s="5" t="s">
        <v>24</v>
      </c>
      <c r="C48" s="5" t="s">
        <v>27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true" outlineLevel="0" collapsed="false">
      <c r="A49" s="9" t="s">
        <v>21</v>
      </c>
      <c r="B49" s="11" t="n">
        <f aca="false">COUNTIFS($B$6:$B$45,A49,$P$6:$P$45,"Active")</f>
        <v>1</v>
      </c>
      <c r="C49" s="11" t="n">
        <f aca="false">COUNTIFS($B$6:$B$45,A49,$P$6:$P$45,"Bench (occasional)")</f>
        <v>0</v>
      </c>
      <c r="D49" s="2"/>
      <c r="E49" s="9" t="s">
        <v>28</v>
      </c>
      <c r="F49" s="9"/>
      <c r="G49" s="9"/>
      <c r="H49" s="9"/>
      <c r="I49" s="9"/>
      <c r="J49" s="11" t="n">
        <f aca="false">COUNTIFS(I6:I45,"Y",P6:P45,"Active")</f>
        <v>1</v>
      </c>
      <c r="K49" s="2"/>
      <c r="L49" s="2"/>
      <c r="M49" s="2"/>
      <c r="N49" s="2"/>
      <c r="O49" s="2"/>
      <c r="P49" s="2"/>
      <c r="Q49" s="2"/>
    </row>
    <row r="50" customFormat="false" ht="15" hidden="false" customHeight="true" outlineLevel="0" collapsed="false">
      <c r="A50" s="9" t="s">
        <v>29</v>
      </c>
      <c r="B50" s="11" t="n">
        <f aca="false">COUNTIFS($B$6:$B$45,A50,$P$6:$P$45,"Active")</f>
        <v>0</v>
      </c>
      <c r="C50" s="11" t="n">
        <f aca="false">COUNTIFS($B$6:$B$45,A50,$P$6:$P$45,"Bench (occasional)")</f>
        <v>0</v>
      </c>
      <c r="D50" s="2"/>
      <c r="E50" s="9" t="s">
        <v>30</v>
      </c>
      <c r="F50" s="9"/>
      <c r="G50" s="9"/>
      <c r="H50" s="9"/>
      <c r="I50" s="9"/>
      <c r="J50" s="11" t="n">
        <f aca="false">SUMPRODUCT((P6:P45="Active")*(((D6:D45="Y")+(E6:E45="Y")+(F6:F45="Y")+(G6:G45="Y")+(H6:H45="Y"))&gt;0))</f>
        <v>1</v>
      </c>
      <c r="K50" s="2"/>
      <c r="L50" s="2"/>
      <c r="M50" s="2"/>
      <c r="N50" s="2"/>
      <c r="O50" s="2"/>
      <c r="P50" s="2"/>
      <c r="Q50" s="2"/>
    </row>
    <row r="51" customFormat="false" ht="15" hidden="false" customHeight="true" outlineLevel="0" collapsed="false">
      <c r="A51" s="9" t="s">
        <v>31</v>
      </c>
      <c r="B51" s="11" t="n">
        <f aca="false">COUNTIFS($B$6:$B$45,A51,$P$6:$P$45,"Active")</f>
        <v>0</v>
      </c>
      <c r="C51" s="11" t="n">
        <f aca="false">COUNTIFS($B$6:$B$45,A51,$P$6:$P$45,"Bench (occasional)")</f>
        <v>0</v>
      </c>
      <c r="D51" s="2"/>
      <c r="E51" s="9" t="s">
        <v>32</v>
      </c>
      <c r="F51" s="9"/>
      <c r="G51" s="9"/>
      <c r="H51" s="9"/>
      <c r="I51" s="9"/>
      <c r="J51" s="11" t="n">
        <f aca="true">COUNTIFS(K6:K45,"&gt;="&amp;TODAY(),K6:K45,"&lt;="&amp;TODAY()+60)</f>
        <v>0</v>
      </c>
      <c r="K51" s="2"/>
      <c r="L51" s="2"/>
      <c r="M51" s="2"/>
      <c r="N51" s="2"/>
      <c r="O51" s="2"/>
      <c r="P51" s="2"/>
      <c r="Q51" s="2"/>
    </row>
    <row r="52" customFormat="false" ht="15" hidden="false" customHeight="true" outlineLevel="0" collapsed="false">
      <c r="A52" s="9" t="s">
        <v>33</v>
      </c>
      <c r="B52" s="11" t="n">
        <f aca="false">COUNTIFS($B$6:$B$45,A52,$P$6:$P$45,"Active")</f>
        <v>0</v>
      </c>
      <c r="C52" s="11" t="n">
        <f aca="false">COUNTIFS($B$6:$B$45,A52,$P$6:$P$45,"Bench (occasional)")</f>
        <v>0</v>
      </c>
      <c r="D52" s="2"/>
      <c r="E52" s="9" t="s">
        <v>34</v>
      </c>
      <c r="F52" s="9"/>
      <c r="G52" s="9"/>
      <c r="H52" s="9"/>
      <c r="I52" s="9"/>
      <c r="J52" s="11" t="n">
        <f aca="false">COUNTIF(O6:O45,"At risk")</f>
        <v>0</v>
      </c>
      <c r="K52" s="2"/>
      <c r="L52" s="2"/>
      <c r="M52" s="2"/>
      <c r="N52" s="2"/>
      <c r="O52" s="2"/>
      <c r="P52" s="2"/>
      <c r="Q52" s="2"/>
    </row>
    <row r="53" customFormat="false" ht="15" hidden="false" customHeight="false" outlineLevel="0" collapsed="false">
      <c r="A53" s="9" t="s">
        <v>35</v>
      </c>
      <c r="B53" s="11" t="n">
        <f aca="false">COUNTIFS($B$6:$B$45,A53,$P$6:$P$45,"Active")</f>
        <v>0</v>
      </c>
      <c r="C53" s="11" t="n">
        <f aca="false">COUNTIFS($B$6:$B$45,A53,$P$6:$P$45,"Bench (occasional)")</f>
        <v>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" hidden="false" customHeight="false" outlineLevel="0" collapsed="false">
      <c r="A54" s="9" t="s">
        <v>36</v>
      </c>
      <c r="B54" s="11" t="n">
        <f aca="false">COUNTIFS($B$6:$B$45,A54,$P$6:$P$45,"Active")</f>
        <v>0</v>
      </c>
      <c r="C54" s="11" t="n">
        <f aca="false">COUNTIFS($B$6:$B$45,A54,$P$6:$P$45,"Bench (occasional)")</f>
        <v>0</v>
      </c>
      <c r="D54" s="2"/>
      <c r="E54" s="12" t="s">
        <v>37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" hidden="false" customHeight="false" outlineLevel="0" collapsed="false">
      <c r="A56" s="12" t="s">
        <v>38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5" hidden="false" customHeight="false" outlineLevel="0" collapsed="false">
      <c r="A58" s="13" t="s">
        <v>39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</sheetData>
  <mergeCells count="5">
    <mergeCell ref="A47:Q47"/>
    <mergeCell ref="E49:I49"/>
    <mergeCell ref="E50:I50"/>
    <mergeCell ref="E51:I51"/>
    <mergeCell ref="E52:I52"/>
  </mergeCells>
  <conditionalFormatting sqref="O6:O45">
    <cfRule type="cellIs" priority="2" operator="equal" aboveAverage="0" equalAverage="0" bottom="0" percent="0" rank="0" text="" dxfId="0">
      <formula>"At risk"</formula>
    </cfRule>
  </conditionalFormatting>
  <conditionalFormatting sqref="K6:K45">
    <cfRule type="cellIs" priority="3" operator="between" aboveAverage="0" equalAverage="0" bottom="0" percent="0" rank="0" text="" dxfId="0">
      <formula>TODAY()</formula>
      <formula>TODAY()+60</formula>
    </cfRule>
    <cfRule type="cellIs" priority="4" operator="lessThan" aboveAverage="0" equalAverage="0" bottom="0" percent="0" rank="0" text="" dxfId="0">
      <formula>TODAY()</formula>
    </cfRule>
  </conditionalFormatting>
  <conditionalFormatting sqref="J51:J52">
    <cfRule type="cellIs" priority="5" operator="greaterThan" aboveAverage="0" equalAverage="0" bottom="0" percent="0" rank="0" text="" dxfId="0">
      <formula>0</formula>
    </cfRule>
  </conditionalFormatting>
  <dataValidations count="3">
    <dataValidation allowBlank="true" errorStyle="stop" operator="between" showDropDown="false" showErrorMessage="false" showInputMessage="false" sqref="B6:B45" type="list">
      <formula1>"Event Captain,Lead Cook,Prep Cook,Event Server,Bartender,Driver,Dishwasher,Other"</formula1>
      <formula2>0</formula2>
    </dataValidation>
    <dataValidation allowBlank="true" errorStyle="stop" operator="between" showDropDown="false" showErrorMessage="false" showInputMessage="false" sqref="D6:J45" type="list">
      <formula1>"Y,N"</formula1>
      <formula2>0</formula2>
    </dataValidation>
    <dataValidation allowBlank="true" errorStyle="stop" operator="between" showDropDown="false" showErrorMessage="false" showInputMessage="false" sqref="P6:P45" type="list">
      <formula1>"Active,Bench (occasional),On leave,Inactive,Do not rehire"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2026-10-14T15:11:28Z</dcterms:created>
  <dc:creator>openpyxl</dc:creator>
  <dc:description/>
  <dc:language>en-US</dc:language>
  <cp:lastModifiedBy/>
  <dcterms:modified xsi:type="dcterms:W3CDTF">2026-10-14T15:11:28Z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