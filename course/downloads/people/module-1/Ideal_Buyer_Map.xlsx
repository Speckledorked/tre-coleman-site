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yer 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<sst xmlns="http://schemas.openxmlformats.org/spreadsheetml/2006/main" count="96" uniqueCount="94">
  <si>
    <t xml:space="preserve">IDEAL BUYER MAP</t>
  </si>
  <si>
    <t xml:space="preserve">The Catering People System | Module 1 | Find where your next 20 events are coming from</t>
  </si>
  <si>
    <t xml:space="preserve">Shaded cells = your inputs | Row 1 of the segment table is a filled example. Score Fit and Access 1 (low) to 5 (high).</t>
  </si>
  <si>
    <t xml:space="preserve">YOUR BUSINESS SNAPSHOT</t>
  </si>
  <si>
    <t xml:space="preserve">Service area radius (miles)</t>
  </si>
  <si>
    <t xml:space="preserve">Minimum order ($)</t>
  </si>
  <si>
    <t xml:space="preserve">Sweet-spot guest count</t>
  </si>
  <si>
    <t xml:space="preserve">25-150</t>
  </si>
  <si>
    <t xml:space="preserve">Average event value ($)</t>
  </si>
  <si>
    <t xml:space="preserve">Events you can handle per month</t>
  </si>
  <si>
    <t xml:space="preserve">BUYER SEGMENTS: WHO ORDERS CATERING IN YOUR AREA</t>
  </si>
  <si>
    <t xml:space="preserve">Segment</t>
  </si>
  <si>
    <t xml:space="preserve">Example buyers near you</t>
  </si>
  <si>
    <t xml:space="preserve">Who places the order</t>
  </si>
  <si>
    <t xml:space="preserve">Typical events</t>
  </si>
  <si>
    <t xml:space="preserve">Avg order ($)</t>
  </si>
  <si>
    <t xml:space="preserve">Orders per year</t>
  </si>
  <si>
    <t xml:space="preserve">Annual value per account</t>
  </si>
  <si>
    <t xml:space="preserve">Fit (1-5)</t>
  </si>
  <si>
    <t xml:space="preserve">Access (1-5)</t>
  </si>
  <si>
    <t xml:space="preserve">Priority (Fit x Access)</t>
  </si>
  <si>
    <t xml:space="preserve">Corporate offices</t>
  </si>
  <si>
    <t xml:space="preserve">Insurance agency on Main St, regional HQs</t>
  </si>
  <si>
    <t xml:space="preserve">Office manager, executive assistant</t>
  </si>
  <si>
    <t xml:space="preserve">Team lunches, all-hands, client meetings</t>
  </si>
  <si>
    <t xml:space="preserve">Medical &amp; dental offices</t>
  </si>
  <si>
    <t xml:space="preserve">Clinics, dental groups, urgent care</t>
  </si>
  <si>
    <t xml:space="preserve">Practice manager, pharma reps</t>
  </si>
  <si>
    <t xml:space="preserve">Staff lunches, lunch-and-learns</t>
  </si>
  <si>
    <t xml:space="preserve">Real estate &amp; title companies</t>
  </si>
  <si>
    <t xml:space="preserve">Brokerages, title and mortgage offices</t>
  </si>
  <si>
    <t xml:space="preserve">Broker, office admin</t>
  </si>
  <si>
    <t xml:space="preserve">Open houses, closings, office events</t>
  </si>
  <si>
    <t xml:space="preserve">Schools &amp; PTAs</t>
  </si>
  <si>
    <t xml:space="preserve">Public and private schools, PTAs</t>
  </si>
  <si>
    <t xml:space="preserve">Front office, PTA chair</t>
  </si>
  <si>
    <t xml:space="preserve">Teacher appreciation, staff training days</t>
  </si>
  <si>
    <t xml:space="preserve">Churches &amp; faith groups</t>
  </si>
  <si>
    <t xml:space="preserve">Congregations, youth programs</t>
  </si>
  <si>
    <t xml:space="preserve">Church admin, event committee</t>
  </si>
  <si>
    <t xml:space="preserve">Fellowship meals, funerals, holidays</t>
  </si>
  <si>
    <t xml:space="preserve">Nonprofits &amp; associations</t>
  </si>
  <si>
    <t xml:space="preserve">Chambers, trade associations, clubs</t>
  </si>
  <si>
    <t xml:space="preserve">Executive director, events lead</t>
  </si>
  <si>
    <t xml:space="preserve">Board meetings, galas, member events</t>
  </si>
  <si>
    <t xml:space="preserve">Venues without a kitchen</t>
  </si>
  <si>
    <t xml:space="preserve">Event barns, galleries, community halls</t>
  </si>
  <si>
    <t xml:space="preserve">Venue coordinator</t>
  </si>
  <si>
    <t xml:space="preserve">Weddings, parties, corporate rentals</t>
  </si>
  <si>
    <t xml:space="preserve">Wedding &amp; event planners</t>
  </si>
  <si>
    <t xml:space="preserve">Independent planners, day-of coordinators</t>
  </si>
  <si>
    <t xml:space="preserve">The planner</t>
  </si>
  <si>
    <t xml:space="preserve">Weddings, showers, milestone parties</t>
  </si>
  <si>
    <t xml:space="preserve">Hotels without full catering</t>
  </si>
  <si>
    <t xml:space="preserve">Limited-service hotels, B&amp;Bs</t>
  </si>
  <si>
    <t xml:space="preserve">General manager, sales manager</t>
  </si>
  <si>
    <t xml:space="preserve">Meeting packages, group breakfasts</t>
  </si>
  <si>
    <t xml:space="preserve">Construction &amp; trades</t>
  </si>
  <si>
    <t xml:space="preserve">Contractors, plants, warehouses</t>
  </si>
  <si>
    <t xml:space="preserve">Site supervisor, HR</t>
  </si>
  <si>
    <t xml:space="preserve">Safety meetings, job-site lunches</t>
  </si>
  <si>
    <t xml:space="preserve">Government &amp; municipal</t>
  </si>
  <si>
    <t xml:space="preserve">County offices, public works, police/fire</t>
  </si>
  <si>
    <t xml:space="preserve">Admin assistant (watch for procurement rules)</t>
  </si>
  <si>
    <t xml:space="preserve">Trainings, recognition events</t>
  </si>
  <si>
    <t xml:space="preserve">Private hosts</t>
  </si>
  <si>
    <t xml:space="preserve">Families, neighbors, past guests</t>
  </si>
  <si>
    <t xml:space="preserve">The host</t>
  </si>
  <si>
    <t xml:space="preserve">Birthdays, graduations, showers, reunions</t>
  </si>
  <si>
    <t xml:space="preserve">Priority 16+ = go after this segment first. Annual value tells you why: one office ordering 18 lunches a year at $650 is worth $11,700.</t>
  </si>
  <si>
    <t xml:space="preserve">TOP 20 TARGET ACCOUNTS</t>
  </si>
  <si>
    <t xml:space="preserve">Account name</t>
  </si>
  <si>
    <t xml:space="preserve">Contact name</t>
  </si>
  <si>
    <t xml:space="preserve">Title</t>
  </si>
  <si>
    <t xml:space="preserve">Phone / email</t>
  </si>
  <si>
    <t xml:space="preserve">Source</t>
  </si>
  <si>
    <t xml:space="preserve">Est. annual value ($)</t>
  </si>
  <si>
    <t xml:space="preserve">Status</t>
  </si>
  <si>
    <t xml:space="preserve">Next step</t>
  </si>
  <si>
    <t xml:space="preserve">Next date</t>
  </si>
  <si>
    <t xml:space="preserve">Riverside Family Dental</t>
  </si>
  <si>
    <t xml:space="preserve">Dana Price</t>
  </si>
  <si>
    <t xml:space="preserve">Practice manager</t>
  </si>
  <si>
    <t xml:space="preserve">dana@example.com</t>
  </si>
  <si>
    <t xml:space="preserve">Google Maps</t>
  </si>
  <si>
    <t xml:space="preserve">Contacted</t>
  </si>
  <si>
    <t xml:space="preserve">Drop off menu + cookies</t>
  </si>
  <si>
    <t xml:space="preserve">SUMMARY</t>
  </si>
  <si>
    <t xml:space="preserve">Accounts listed</t>
  </si>
  <si>
    <t xml:space="preserve">Total est. annual value of top 20</t>
  </si>
  <si>
    <t xml:space="preserve">Contacted or further</t>
  </si>
  <si>
    <t xml:space="preserve">Booked</t>
  </si>
  <si>
    <t xml:space="preserve">Value already booked ($)</t>
  </si>
  <si>
    <t xml:space="preserve">The Catering People System | Module 1: Lead Generation | trecoleman.com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</si>
</sst>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;&quot;($&quot;#,##0\);\-"/>
    <numFmt numFmtId="167" formatCode="@"/>
    <numFmt numFmtId="168" formatCode="mm/d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i val="true"/>
      <sz val="9"/>
      <color rgb="FF55524B"/>
      <name val="Arial"/>
      <family val="0"/>
      <charset val="1"/>
    </font>
    <font>
      <sz val="8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1A1917"/>
        <bgColor rgb="FF000000"/>
      </patternFill>
    </fill>
    <fill>
      <patternFill patternType="solid">
        <fgColor rgb="FFFFFFFF"/>
        <bgColor rgb="FFFBFAF7"/>
      </patternFill>
    </fill>
    <fill>
      <patternFill patternType="solid">
        <fgColor rgb="FFF4F1EA"/>
        <bgColor rgb="FFFBF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3121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0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9.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6" t="s">
        <v>4</v>
      </c>
      <c r="B6" s="7" t="n">
        <v>25</v>
      </c>
      <c r="C6" s="2"/>
      <c r="D6" s="2"/>
      <c r="E6" s="2"/>
      <c r="F6" s="2"/>
      <c r="G6" s="2"/>
      <c r="H6" s="2"/>
      <c r="I6" s="2"/>
      <c r="J6" s="2"/>
    </row>
    <row r="7" customFormat="false" ht="15" hidden="false" customHeight="false" outlineLevel="0" collapsed="false">
      <c r="A7" s="6" t="s">
        <v>5</v>
      </c>
      <c r="B7" s="8" t="n">
        <v>400</v>
      </c>
      <c r="C7" s="2"/>
      <c r="D7" s="2"/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6" t="s">
        <v>6</v>
      </c>
      <c r="B8" s="9" t="s">
        <v>7</v>
      </c>
      <c r="C8" s="2"/>
      <c r="D8" s="2"/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6" t="s">
        <v>8</v>
      </c>
      <c r="B9" s="8" t="n">
        <v>2200</v>
      </c>
      <c r="C9" s="2"/>
      <c r="D9" s="2"/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6" t="s">
        <v>9</v>
      </c>
      <c r="B10" s="7" t="n">
        <v>12</v>
      </c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9.5" hidden="false" customHeight="true" outlineLevel="0" collapsed="false">
      <c r="A12" s="5" t="s">
        <v>10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30" hidden="false" customHeight="true" outlineLevel="0" collapsed="false">
      <c r="A13" s="10" t="s">
        <v>11</v>
      </c>
      <c r="B13" s="10" t="s">
        <v>12</v>
      </c>
      <c r="C13" s="10" t="s">
        <v>13</v>
      </c>
      <c r="D13" s="10" t="s">
        <v>14</v>
      </c>
      <c r="E13" s="10" t="s">
        <v>15</v>
      </c>
      <c r="F13" s="10" t="s">
        <v>16</v>
      </c>
      <c r="G13" s="10" t="s">
        <v>17</v>
      </c>
      <c r="H13" s="10" t="s">
        <v>18</v>
      </c>
      <c r="I13" s="10" t="s">
        <v>19</v>
      </c>
      <c r="J13" s="10" t="s">
        <v>20</v>
      </c>
    </row>
    <row r="14" customFormat="false" ht="30" hidden="false" customHeight="true" outlineLevel="0" collapsed="false">
      <c r="A14" s="6" t="s">
        <v>21</v>
      </c>
      <c r="B14" s="11" t="s">
        <v>22</v>
      </c>
      <c r="C14" s="12" t="s">
        <v>23</v>
      </c>
      <c r="D14" s="12" t="s">
        <v>24</v>
      </c>
      <c r="E14" s="8" t="n">
        <v>650</v>
      </c>
      <c r="F14" s="7" t="n">
        <v>18</v>
      </c>
      <c r="G14" s="13" t="n">
        <f aca="false">IF(AND(E14&gt;0,F14&gt;0),E14*F14,"")</f>
        <v>11700</v>
      </c>
      <c r="H14" s="7" t="n">
        <v>5</v>
      </c>
      <c r="I14" s="7" t="n">
        <v>4</v>
      </c>
      <c r="J14" s="14" t="n">
        <f aca="false">IF(AND(H14&gt;0,I14&gt;0),H14*I14,"")</f>
        <v>20</v>
      </c>
    </row>
    <row r="15" customFormat="false" ht="30" hidden="false" customHeight="true" outlineLevel="0" collapsed="false">
      <c r="A15" s="6" t="s">
        <v>25</v>
      </c>
      <c r="B15" s="11" t="s">
        <v>26</v>
      </c>
      <c r="C15" s="12" t="s">
        <v>27</v>
      </c>
      <c r="D15" s="12" t="s">
        <v>28</v>
      </c>
      <c r="E15" s="8"/>
      <c r="F15" s="7"/>
      <c r="G15" s="13" t="str">
        <f aca="false">IF(AND(E15&gt;0,F15&gt;0),E15*F15,"")</f>
        <v/>
      </c>
      <c r="H15" s="7"/>
      <c r="I15" s="7"/>
      <c r="J15" s="14" t="str">
        <f aca="false">IF(AND(H15&gt;0,I15&gt;0),H15*I15,"")</f>
        <v/>
      </c>
    </row>
    <row r="16" customFormat="false" ht="30" hidden="false" customHeight="true" outlineLevel="0" collapsed="false">
      <c r="A16" s="6" t="s">
        <v>29</v>
      </c>
      <c r="B16" s="11" t="s">
        <v>30</v>
      </c>
      <c r="C16" s="12" t="s">
        <v>31</v>
      </c>
      <c r="D16" s="12" t="s">
        <v>32</v>
      </c>
      <c r="E16" s="8"/>
      <c r="F16" s="7"/>
      <c r="G16" s="13" t="str">
        <f aca="false">IF(AND(E16&gt;0,F16&gt;0),E16*F16,"")</f>
        <v/>
      </c>
      <c r="H16" s="7"/>
      <c r="I16" s="7"/>
      <c r="J16" s="14" t="str">
        <f aca="false">IF(AND(H16&gt;0,I16&gt;0),H16*I16,"")</f>
        <v/>
      </c>
    </row>
    <row r="17" customFormat="false" ht="30" hidden="false" customHeight="true" outlineLevel="0" collapsed="false">
      <c r="A17" s="6" t="s">
        <v>33</v>
      </c>
      <c r="B17" s="11" t="s">
        <v>34</v>
      </c>
      <c r="C17" s="12" t="s">
        <v>35</v>
      </c>
      <c r="D17" s="12" t="s">
        <v>36</v>
      </c>
      <c r="E17" s="8"/>
      <c r="F17" s="7"/>
      <c r="G17" s="13" t="str">
        <f aca="false">IF(AND(E17&gt;0,F17&gt;0),E17*F17,"")</f>
        <v/>
      </c>
      <c r="H17" s="7"/>
      <c r="I17" s="7"/>
      <c r="J17" s="14" t="str">
        <f aca="false">IF(AND(H17&gt;0,I17&gt;0),H17*I17,"")</f>
        <v/>
      </c>
    </row>
    <row r="18" customFormat="false" ht="30" hidden="false" customHeight="true" outlineLevel="0" collapsed="false">
      <c r="A18" s="6" t="s">
        <v>37</v>
      </c>
      <c r="B18" s="11" t="s">
        <v>38</v>
      </c>
      <c r="C18" s="12" t="s">
        <v>39</v>
      </c>
      <c r="D18" s="12" t="s">
        <v>40</v>
      </c>
      <c r="E18" s="8"/>
      <c r="F18" s="7"/>
      <c r="G18" s="13" t="str">
        <f aca="false">IF(AND(E18&gt;0,F18&gt;0),E18*F18,"")</f>
        <v/>
      </c>
      <c r="H18" s="7"/>
      <c r="I18" s="7"/>
      <c r="J18" s="14" t="str">
        <f aca="false">IF(AND(H18&gt;0,I18&gt;0),H18*I18,"")</f>
        <v/>
      </c>
    </row>
    <row r="19" customFormat="false" ht="30" hidden="false" customHeight="true" outlineLevel="0" collapsed="false">
      <c r="A19" s="6" t="s">
        <v>41</v>
      </c>
      <c r="B19" s="11" t="s">
        <v>42</v>
      </c>
      <c r="C19" s="12" t="s">
        <v>43</v>
      </c>
      <c r="D19" s="12" t="s">
        <v>44</v>
      </c>
      <c r="E19" s="8"/>
      <c r="F19" s="7"/>
      <c r="G19" s="13" t="str">
        <f aca="false">IF(AND(E19&gt;0,F19&gt;0),E19*F19,"")</f>
        <v/>
      </c>
      <c r="H19" s="7"/>
      <c r="I19" s="7"/>
      <c r="J19" s="14" t="str">
        <f aca="false">IF(AND(H19&gt;0,I19&gt;0),H19*I19,"")</f>
        <v/>
      </c>
    </row>
    <row r="20" customFormat="false" ht="30" hidden="false" customHeight="true" outlineLevel="0" collapsed="false">
      <c r="A20" s="6" t="s">
        <v>45</v>
      </c>
      <c r="B20" s="11" t="s">
        <v>46</v>
      </c>
      <c r="C20" s="12" t="s">
        <v>47</v>
      </c>
      <c r="D20" s="12" t="s">
        <v>48</v>
      </c>
      <c r="E20" s="8"/>
      <c r="F20" s="7"/>
      <c r="G20" s="13" t="str">
        <f aca="false">IF(AND(E20&gt;0,F20&gt;0),E20*F20,"")</f>
        <v/>
      </c>
      <c r="H20" s="7"/>
      <c r="I20" s="7"/>
      <c r="J20" s="14" t="str">
        <f aca="false">IF(AND(H20&gt;0,I20&gt;0),H20*I20,"")</f>
        <v/>
      </c>
    </row>
    <row r="21" customFormat="false" ht="30" hidden="false" customHeight="true" outlineLevel="0" collapsed="false">
      <c r="A21" s="6" t="s">
        <v>49</v>
      </c>
      <c r="B21" s="11" t="s">
        <v>50</v>
      </c>
      <c r="C21" s="12" t="s">
        <v>51</v>
      </c>
      <c r="D21" s="12" t="s">
        <v>52</v>
      </c>
      <c r="E21" s="8"/>
      <c r="F21" s="7"/>
      <c r="G21" s="13" t="str">
        <f aca="false">IF(AND(E21&gt;0,F21&gt;0),E21*F21,"")</f>
        <v/>
      </c>
      <c r="H21" s="7"/>
      <c r="I21" s="7"/>
      <c r="J21" s="14" t="str">
        <f aca="false">IF(AND(H21&gt;0,I21&gt;0),H21*I21,"")</f>
        <v/>
      </c>
    </row>
    <row r="22" customFormat="false" ht="30" hidden="false" customHeight="true" outlineLevel="0" collapsed="false">
      <c r="A22" s="6" t="s">
        <v>53</v>
      </c>
      <c r="B22" s="11" t="s">
        <v>54</v>
      </c>
      <c r="C22" s="12" t="s">
        <v>55</v>
      </c>
      <c r="D22" s="12" t="s">
        <v>56</v>
      </c>
      <c r="E22" s="8"/>
      <c r="F22" s="7"/>
      <c r="G22" s="13" t="str">
        <f aca="false">IF(AND(E22&gt;0,F22&gt;0),E22*F22,"")</f>
        <v/>
      </c>
      <c r="H22" s="7"/>
      <c r="I22" s="7"/>
      <c r="J22" s="14" t="str">
        <f aca="false">IF(AND(H22&gt;0,I22&gt;0),H22*I22,"")</f>
        <v/>
      </c>
    </row>
    <row r="23" customFormat="false" ht="30" hidden="false" customHeight="true" outlineLevel="0" collapsed="false">
      <c r="A23" s="6" t="s">
        <v>57</v>
      </c>
      <c r="B23" s="11" t="s">
        <v>58</v>
      </c>
      <c r="C23" s="12" t="s">
        <v>59</v>
      </c>
      <c r="D23" s="12" t="s">
        <v>60</v>
      </c>
      <c r="E23" s="8"/>
      <c r="F23" s="7"/>
      <c r="G23" s="13" t="str">
        <f aca="false">IF(AND(E23&gt;0,F23&gt;0),E23*F23,"")</f>
        <v/>
      </c>
      <c r="H23" s="7"/>
      <c r="I23" s="7"/>
      <c r="J23" s="14" t="str">
        <f aca="false">IF(AND(H23&gt;0,I23&gt;0),H23*I23,"")</f>
        <v/>
      </c>
    </row>
    <row r="24" customFormat="false" ht="30" hidden="false" customHeight="true" outlineLevel="0" collapsed="false">
      <c r="A24" s="6" t="s">
        <v>61</v>
      </c>
      <c r="B24" s="11" t="s">
        <v>62</v>
      </c>
      <c r="C24" s="12" t="s">
        <v>63</v>
      </c>
      <c r="D24" s="12" t="s">
        <v>64</v>
      </c>
      <c r="E24" s="8"/>
      <c r="F24" s="7"/>
      <c r="G24" s="13" t="str">
        <f aca="false">IF(AND(E24&gt;0,F24&gt;0),E24*F24,"")</f>
        <v/>
      </c>
      <c r="H24" s="7"/>
      <c r="I24" s="7"/>
      <c r="J24" s="14" t="str">
        <f aca="false">IF(AND(H24&gt;0,I24&gt;0),H24*I24,"")</f>
        <v/>
      </c>
    </row>
    <row r="25" customFormat="false" ht="30" hidden="false" customHeight="true" outlineLevel="0" collapsed="false">
      <c r="A25" s="6" t="s">
        <v>65</v>
      </c>
      <c r="B25" s="11" t="s">
        <v>66</v>
      </c>
      <c r="C25" s="12" t="s">
        <v>67</v>
      </c>
      <c r="D25" s="12" t="s">
        <v>68</v>
      </c>
      <c r="E25" s="8"/>
      <c r="F25" s="7"/>
      <c r="G25" s="13" t="str">
        <f aca="false">IF(AND(E25&gt;0,F25&gt;0),E25*F25,"")</f>
        <v/>
      </c>
      <c r="H25" s="7"/>
      <c r="I25" s="7"/>
      <c r="J25" s="14" t="str">
        <f aca="false">IF(AND(H25&gt;0,I25&gt;0),H25*I25,"")</f>
        <v/>
      </c>
    </row>
    <row r="26" customFormat="false" ht="15" hidden="false" customHeight="false" outlineLevel="0" collapsed="false">
      <c r="A26" s="15" t="s">
        <v>69</v>
      </c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9.5" hidden="false" customHeight="true" outlineLevel="0" collapsed="false">
      <c r="A28" s="5" t="s">
        <v>70</v>
      </c>
      <c r="B28" s="5"/>
      <c r="C28" s="5"/>
      <c r="D28" s="5"/>
      <c r="E28" s="5"/>
      <c r="F28" s="5"/>
      <c r="G28" s="5"/>
      <c r="H28" s="5"/>
      <c r="I28" s="5"/>
      <c r="J28" s="5"/>
    </row>
    <row r="29" customFormat="false" ht="30" hidden="false" customHeight="true" outlineLevel="0" collapsed="false">
      <c r="A29" s="10" t="s">
        <v>71</v>
      </c>
      <c r="B29" s="10" t="s">
        <v>11</v>
      </c>
      <c r="C29" s="10" t="s">
        <v>72</v>
      </c>
      <c r="D29" s="10" t="s">
        <v>73</v>
      </c>
      <c r="E29" s="10" t="s">
        <v>74</v>
      </c>
      <c r="F29" s="10" t="s">
        <v>75</v>
      </c>
      <c r="G29" s="10" t="s">
        <v>76</v>
      </c>
      <c r="H29" s="10" t="s">
        <v>77</v>
      </c>
      <c r="I29" s="10" t="s">
        <v>78</v>
      </c>
      <c r="J29" s="10" t="s">
        <v>79</v>
      </c>
    </row>
    <row r="30" customFormat="false" ht="32.8" hidden="false" customHeight="false" outlineLevel="0" collapsed="false">
      <c r="A30" s="11" t="s">
        <v>80</v>
      </c>
      <c r="B30" s="11" t="s">
        <v>25</v>
      </c>
      <c r="C30" s="11" t="s">
        <v>81</v>
      </c>
      <c r="D30" s="11" t="s">
        <v>82</v>
      </c>
      <c r="E30" s="11" t="s">
        <v>83</v>
      </c>
      <c r="F30" s="11" t="s">
        <v>84</v>
      </c>
      <c r="G30" s="8" t="n">
        <v>7800</v>
      </c>
      <c r="H30" s="11" t="s">
        <v>85</v>
      </c>
      <c r="I30" s="11" t="s">
        <v>86</v>
      </c>
      <c r="J30" s="16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8"/>
      <c r="H31" s="11"/>
      <c r="I31" s="11"/>
      <c r="J31" s="16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8"/>
      <c r="H32" s="11"/>
      <c r="I32" s="11"/>
      <c r="J32" s="16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8"/>
      <c r="H33" s="11"/>
      <c r="I33" s="11"/>
      <c r="J33" s="16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8"/>
      <c r="H34" s="11"/>
      <c r="I34" s="11"/>
      <c r="J34" s="16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8"/>
      <c r="H35" s="11"/>
      <c r="I35" s="11"/>
      <c r="J35" s="16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8"/>
      <c r="H36" s="11"/>
      <c r="I36" s="11"/>
      <c r="J36" s="16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8"/>
      <c r="H37" s="11"/>
      <c r="I37" s="11"/>
      <c r="J37" s="16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8"/>
      <c r="H38" s="11"/>
      <c r="I38" s="11"/>
      <c r="J38" s="16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8"/>
      <c r="H39" s="11"/>
      <c r="I39" s="11"/>
      <c r="J39" s="16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8"/>
      <c r="H40" s="11"/>
      <c r="I40" s="11"/>
      <c r="J40" s="16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8"/>
      <c r="H41" s="11"/>
      <c r="I41" s="11"/>
      <c r="J41" s="16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8"/>
      <c r="H42" s="11"/>
      <c r="I42" s="11"/>
      <c r="J42" s="16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8"/>
      <c r="H43" s="11"/>
      <c r="I43" s="11"/>
      <c r="J43" s="16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8"/>
      <c r="H44" s="11"/>
      <c r="I44" s="11"/>
      <c r="J44" s="16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8"/>
      <c r="H45" s="11"/>
      <c r="I45" s="11"/>
      <c r="J45" s="16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8"/>
      <c r="H46" s="11"/>
      <c r="I46" s="11"/>
      <c r="J46" s="16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8"/>
      <c r="H47" s="11"/>
      <c r="I47" s="11"/>
      <c r="J47" s="16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8"/>
      <c r="H48" s="11"/>
      <c r="I48" s="11"/>
      <c r="J48" s="16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8"/>
      <c r="H49" s="11"/>
      <c r="I49" s="11"/>
      <c r="J49" s="16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9.5" hidden="false" customHeight="true" outlineLevel="0" collapsed="false">
      <c r="A51" s="5" t="s">
        <v>87</v>
      </c>
      <c r="B51" s="5"/>
      <c r="C51" s="5"/>
      <c r="D51" s="5"/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A52" s="6" t="s">
        <v>88</v>
      </c>
      <c r="B52" s="14" t="n">
        <f aca="false">COUNTA(A30:A49)</f>
        <v>1</v>
      </c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6" t="s">
        <v>89</v>
      </c>
      <c r="B53" s="13" t="n">
        <f aca="false">SUM(G30:G49)</f>
        <v>7800</v>
      </c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6" t="s">
        <v>90</v>
      </c>
      <c r="B54" s="14" t="n">
        <f aca="false">COUNTA(H30:H49)-COUNTIF(H30:H49,"Not contacted")</f>
        <v>1</v>
      </c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6" t="s">
        <v>91</v>
      </c>
      <c r="B55" s="14" t="n">
        <f aca="false">COUNTIF(H30:H49,"Booked")</f>
        <v>0</v>
      </c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6" t="s">
        <v>92</v>
      </c>
      <c r="B56" s="13" t="n">
        <f aca="false">SUMIF(H30:H49,"Booked",G30:G49)</f>
        <v>0</v>
      </c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17" t="s">
        <v>93</v>
      </c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</sheetData>
  <mergeCells count="4">
    <mergeCell ref="A5:J5"/>
    <mergeCell ref="A12:J12"/>
    <mergeCell ref="A28:J28"/>
    <mergeCell ref="A51:J51"/>
  </mergeCells>
  <conditionalFormatting sqref="J14:J25">
    <cfRule type="cellIs" priority="2" operator="greaterThanOrEqual" aboveAverage="0" equalAverage="0" bottom="0" percent="0" rank="0" text="" dxfId="0">
      <formula>16</formula>
    </cfRule>
  </conditionalFormatting>
  <dataValidations count="3">
    <dataValidation allowBlank="true" errorStyle="stop" operator="between" showDropDown="false" showErrorMessage="false" showInputMessage="false" sqref="H14:I25" type="whole">
      <formula1>1</formula1>
      <formula2>5</formula2>
    </dataValidation>
    <dataValidation allowBlank="true" errorStyle="stop" operator="between" showDropDown="false" showErrorMessage="false" showInputMessage="false" sqref="H30:H49" type="list">
      <formula1>"Not contacted,Contacted,Replied,Meeting set,Tasting done,Booked,Not a fit"</formula1>
      <formula2>0</formula2>
    </dataValidation>
    <dataValidation allowBlank="true" errorStyle="stop" operator="between" showDropDown="false" showErrorMessage="false" showInputMessage="false" sqref="B30:B49" type="list">
      <formula1>$A$14:$A$25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2026-10-13T16:30:09Z</dcterms:created>
  <dc:creator>openpyxl</dc:creator>
  <dc:description/>
  <dc:language>en-US</dc:language>
  <cp:lastModifiedBy/>
  <dcterms:modified xsi:type="dcterms:W3CDTF">2026-10-13T16:30:10Z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