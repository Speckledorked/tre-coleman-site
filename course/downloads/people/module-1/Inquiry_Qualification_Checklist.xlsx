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fy an Inquiry" sheetId="1" state="visible" r:id="rId3"/>
    <sheet name="Inquir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<sst xmlns="http://schemas.openxmlformats.org/spreadsheetml/2006/main" count="79" uniqueCount="75">
  <si>
    <t xml:space="preserve">INQUIRY QUALIFICATION CHECKLIST</t>
  </si>
  <si>
    <t xml:space="preserve">The Catering People System | Module 1 | Score every inquiry in 2 minutes before you write a single quote</t>
  </si>
  <si>
    <t xml:space="preserve">Shaded cells = your inputs | Score each line 0 to 3 using the guide. Filled with an example inquiry.</t>
  </si>
  <si>
    <t xml:space="preserve">INQUIRY DETAILS</t>
  </si>
  <si>
    <t xml:space="preserve">Contact name</t>
  </si>
  <si>
    <t xml:space="preserve">Jordan Ellis</t>
  </si>
  <si>
    <t xml:space="preserve">Organization</t>
  </si>
  <si>
    <t xml:space="preserve">Ellis &amp; Park Realty</t>
  </si>
  <si>
    <t xml:space="preserve">Event type</t>
  </si>
  <si>
    <t xml:space="preserve">Client appreciation lunch</t>
  </si>
  <si>
    <t xml:space="preserve">Event date</t>
  </si>
  <si>
    <t xml:space="preserve">Guest count</t>
  </si>
  <si>
    <t xml:space="preserve">Stated budget ($)</t>
  </si>
  <si>
    <t xml:space="preserve">How they found you</t>
  </si>
  <si>
    <t xml:space="preserve">Referred by Oak Hollow Barn</t>
  </si>
  <si>
    <t xml:space="preserve">Days of lead time</t>
  </si>
  <si>
    <t xml:space="preserve">Budget per guest</t>
  </si>
  <si>
    <t xml:space="preserve">SCORE IT (0 = NO, 3 = STRONG YES)</t>
  </si>
  <si>
    <t xml:space="preserve">Criteria</t>
  </si>
  <si>
    <t xml:space="preserve">Scoring guide</t>
  </si>
  <si>
    <t xml:space="preserve">Score (0-3)</t>
  </si>
  <si>
    <t xml:space="preserve">Notes</t>
  </si>
  <si>
    <t xml:space="preserve">Date is open and you have capacity</t>
  </si>
  <si>
    <t xml:space="preserve">3 = wide open | 2 = tight but doable | 1 = would need extra staff | 0 = booked</t>
  </si>
  <si>
    <t xml:space="preserve">Guest count fits your sweet spot</t>
  </si>
  <si>
    <t xml:space="preserve">3 = right in it | 2 = a bit outside | 1 = stretch | 0 = too small or too big</t>
  </si>
  <si>
    <t xml:space="preserve">Budget per guest meets your minimum</t>
  </si>
  <si>
    <t xml:space="preserve">3 = above it | 2 = at it | 1 = 10-20% under | 0 = way under</t>
  </si>
  <si>
    <t xml:space="preserve">Service style is something you do well</t>
  </si>
  <si>
    <t xml:space="preserve">3 = core service | 2 = done it before | 1 = new to you | 0 = not your thing</t>
  </si>
  <si>
    <t xml:space="preserve">Location is inside your service area</t>
  </si>
  <si>
    <t xml:space="preserve">3 = close | 2 = edge of area | 1 = travel fee needed | 0 = outside</t>
  </si>
  <si>
    <t xml:space="preserve">You are talking to the decision-maker</t>
  </si>
  <si>
    <t xml:space="preserve">3 = yes, they sign | 2 = they recommend | 1 = gathering quotes | 0 = unknown</t>
  </si>
  <si>
    <t xml:space="preserve">Enough lead time to plan and staff</t>
  </si>
  <si>
    <t xml:space="preserve">3 = 3+ weeks | 2 = 1-3 weeks | 1 = under a week | 0 = this week</t>
  </si>
  <si>
    <t xml:space="preserve">Repeat or referral potential</t>
  </si>
  <si>
    <t xml:space="preserve">3 = recurring buyer/partner referral | 2 = could repeat | 1 = one-time | 0 = no</t>
  </si>
  <si>
    <t xml:space="preserve">TOTAL SCORE (out of 24)</t>
  </si>
  <si>
    <t xml:space="preserve">VERDICT</t>
  </si>
  <si>
    <t xml:space="preserve">ASK IN YOUR FIRST REPLY (WITHIN THE HOUR)</t>
  </si>
  <si>
    <t xml:space="preserve">1.  What's the occasion, and what would make it a win for you?</t>
  </si>
  <si>
    <t xml:space="preserve">2.  Roughly how many guests, and is that number firm yet?</t>
  </si>
  <si>
    <t xml:space="preserve">3.  What kind of service are you picturing: drop-off, buffet, or staffed?</t>
  </si>
  <si>
    <t xml:space="preserve">4.  Do you have a budget range in mind, per person or total?</t>
  </si>
  <si>
    <t xml:space="preserve">5.  Who else is involved in choosing the caterer?</t>
  </si>
  <si>
    <t xml:space="preserve">6.  When do you need to decide by?</t>
  </si>
  <si>
    <t xml:space="preserve">RED FLAGS: SLOW DOWN BEFORE YOU QUOTE</t>
  </si>
  <si>
    <t xml:space="preserve">•  Won't share a budget range after you ask twice</t>
  </si>
  <si>
    <t xml:space="preserve">•  Asks for a full itemized quote before any conversation</t>
  </si>
  <si>
    <t xml:space="preserve">•  Wants a tasting for free before committing to anything, for a small event</t>
  </si>
  <si>
    <t xml:space="preserve">•  Date is days away and they 'just need food'</t>
  </si>
  <si>
    <t xml:space="preserve">•  Negotiates price in the first message</t>
  </si>
  <si>
    <t xml:space="preserve">The Catering People System | Module 1: Lead Generation | trecoleman.com</t>
  </si>
  <si>
    <t xml:space="preserve">INQUIRY LOG</t>
  </si>
  <si>
    <t xml:space="preserve">The Catering People System | Module 1 | Speed wins. Track how fast you respond and what it gets you.</t>
  </si>
  <si>
    <t xml:space="preserve">Shaded cells = your inputs | Verdict fills in from the score. Row 1 is a filled example.</t>
  </si>
  <si>
    <t xml:space="preserve">Date in</t>
  </si>
  <si>
    <t xml:space="preserve">Name / org</t>
  </si>
  <si>
    <t xml:space="preserve">Guests</t>
  </si>
  <si>
    <t xml:space="preserve">Score</t>
  </si>
  <si>
    <t xml:space="preserve">Verdict</t>
  </si>
  <si>
    <t xml:space="preserve">Response time (hrs)</t>
  </si>
  <si>
    <t xml:space="preserve">Outcome</t>
  </si>
  <si>
    <t xml:space="preserve">Jordan Ellis / Ellis &amp; Park</t>
  </si>
  <si>
    <t xml:space="preserve">Client lunch</t>
  </si>
  <si>
    <t xml:space="preserve">Tasting set</t>
  </si>
  <si>
    <t xml:space="preserve">Referral from Oak Hollow</t>
  </si>
  <si>
    <t xml:space="preserve">RESULTS</t>
  </si>
  <si>
    <t xml:space="preserve">Inquiries logged</t>
  </si>
  <si>
    <t xml:space="preserve">Average response time (hrs)</t>
  </si>
  <si>
    <t xml:space="preserve">Goal: under 1 hour during business hours. The first caterer to respond usually gets the call.</t>
  </si>
  <si>
    <t xml:space="preserve">Booked</t>
  </si>
  <si>
    <t xml:space="preserve">Inquiry-to-booking rate</t>
  </si>
  <si>
    <t xml:space="preserve">Pursue-rated inquiries booked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</si>
</sst>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\$#,##0;&quot;($&quot;#,##0\);\-"/>
    <numFmt numFmtId="167" formatCode="0"/>
    <numFmt numFmtId="168" formatCode="\$#,##0.00"/>
    <numFmt numFmtId="169" formatCode="0.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sz val="9"/>
      <color rgb="FF55524B"/>
      <name val="Arial"/>
      <family val="0"/>
      <charset val="1"/>
    </font>
    <font>
      <b val="true"/>
      <sz val="12"/>
      <color rgb="FF1A1917"/>
      <name val="Arial"/>
      <family val="0"/>
      <charset val="1"/>
    </font>
    <font>
      <b val="true"/>
      <sz val="11"/>
      <color rgb="FFA3121D"/>
      <name val="Arial"/>
      <family val="0"/>
      <charset val="1"/>
    </font>
    <font>
      <sz val="9"/>
      <color rgb="FFA3121D"/>
      <name val="Arial"/>
      <family val="0"/>
      <charset val="1"/>
    </font>
    <font>
      <sz val="8"/>
      <color rgb="FF55524B"/>
      <name val="Arial"/>
      <family val="0"/>
      <charset val="1"/>
    </font>
    <font>
      <i val="true"/>
      <sz val="9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1A1917"/>
        <bgColor rgb="FF000000"/>
      </patternFill>
    </fill>
    <fill>
      <patternFill patternType="solid">
        <fgColor rgb="FFFFFFFF"/>
        <bgColor rgb="FFFBFAF7"/>
      </patternFill>
    </fill>
    <fill>
      <patternFill patternType="solid">
        <fgColor rgb="FFF4F1EA"/>
        <bgColor rgb="FFFBF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/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">
        <v>2</v>
      </c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9.5" hidden="false" customHeight="true" outlineLevel="0" collapsed="false">
      <c r="A5" s="5" t="s">
        <v>3</v>
      </c>
      <c r="B5" s="5"/>
      <c r="C5" s="5"/>
      <c r="D5" s="5"/>
    </row>
    <row r="6" customFormat="false" ht="15" hidden="false" customHeight="false" outlineLevel="0" collapsed="false">
      <c r="A6" s="6" t="s">
        <v>4</v>
      </c>
      <c r="B6" s="7" t="s">
        <v>5</v>
      </c>
      <c r="C6" s="2"/>
      <c r="D6" s="2"/>
    </row>
    <row r="7" customFormat="false" ht="15" hidden="false" customHeight="false" outlineLevel="0" collapsed="false">
      <c r="A7" s="6" t="s">
        <v>6</v>
      </c>
      <c r="B7" s="7" t="s">
        <v>7</v>
      </c>
      <c r="C7" s="2"/>
      <c r="D7" s="2"/>
    </row>
    <row r="8" customFormat="false" ht="15" hidden="false" customHeight="false" outlineLevel="0" collapsed="false">
      <c r="A8" s="6" t="s">
        <v>8</v>
      </c>
      <c r="B8" s="7" t="s">
        <v>9</v>
      </c>
      <c r="C8" s="2"/>
      <c r="D8" s="2"/>
    </row>
    <row r="9" customFormat="false" ht="15" hidden="false" customHeight="false" outlineLevel="0" collapsed="false">
      <c r="A9" s="6" t="s">
        <v>10</v>
      </c>
      <c r="B9" s="8" t="n">
        <v>46346</v>
      </c>
      <c r="C9" s="2"/>
      <c r="D9" s="2"/>
    </row>
    <row r="10" customFormat="false" ht="15" hidden="false" customHeight="false" outlineLevel="0" collapsed="false">
      <c r="A10" s="6" t="s">
        <v>11</v>
      </c>
      <c r="B10" s="7" t="n">
        <v>60</v>
      </c>
      <c r="C10" s="2"/>
      <c r="D10" s="2"/>
    </row>
    <row r="11" customFormat="false" ht="15" hidden="false" customHeight="false" outlineLevel="0" collapsed="false">
      <c r="A11" s="6" t="s">
        <v>12</v>
      </c>
      <c r="B11" s="9" t="n">
        <v>1500</v>
      </c>
      <c r="C11" s="2"/>
      <c r="D11" s="2"/>
    </row>
    <row r="12" customFormat="false" ht="15" hidden="false" customHeight="false" outlineLevel="0" collapsed="false">
      <c r="A12" s="6" t="s">
        <v>13</v>
      </c>
      <c r="B12" s="7" t="s">
        <v>14</v>
      </c>
      <c r="C12" s="2"/>
      <c r="D12" s="2"/>
    </row>
    <row r="13" customFormat="false" ht="15" hidden="false" customHeight="false" outlineLevel="0" collapsed="false">
      <c r="A13" s="6" t="s">
        <v>15</v>
      </c>
      <c r="B13" s="10" t="n">
        <f aca="true">IF(B9="","",B9-TODAY())</f>
        <v>38</v>
      </c>
      <c r="C13" s="2"/>
      <c r="D13" s="2"/>
    </row>
    <row r="14" customFormat="false" ht="15" hidden="false" customHeight="false" outlineLevel="0" collapsed="false">
      <c r="A14" s="6" t="s">
        <v>16</v>
      </c>
      <c r="B14" s="11" t="n">
        <f aca="false">IF(AND(B10&gt;0,B11&gt;0),B11/B10,"")</f>
        <v>25</v>
      </c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9.5" hidden="false" customHeight="true" outlineLevel="0" collapsed="false">
      <c r="A16" s="5" t="s">
        <v>17</v>
      </c>
      <c r="B16" s="5"/>
      <c r="C16" s="5"/>
      <c r="D16" s="5"/>
    </row>
    <row r="17" customFormat="false" ht="30" hidden="false" customHeight="true" outlineLevel="0" collapsed="false">
      <c r="A17" s="12" t="s">
        <v>18</v>
      </c>
      <c r="B17" s="12" t="s">
        <v>19</v>
      </c>
      <c r="C17" s="12" t="s">
        <v>20</v>
      </c>
      <c r="D17" s="12" t="s">
        <v>21</v>
      </c>
    </row>
    <row r="18" customFormat="false" ht="27.75" hidden="false" customHeight="true" outlineLevel="0" collapsed="false">
      <c r="A18" s="6" t="s">
        <v>22</v>
      </c>
      <c r="B18" s="13" t="s">
        <v>23</v>
      </c>
      <c r="C18" s="14" t="n">
        <v>3</v>
      </c>
      <c r="D18" s="7"/>
    </row>
    <row r="19" customFormat="false" ht="27.75" hidden="false" customHeight="true" outlineLevel="0" collapsed="false">
      <c r="A19" s="6" t="s">
        <v>24</v>
      </c>
      <c r="B19" s="13" t="s">
        <v>25</v>
      </c>
      <c r="C19" s="14" t="n">
        <v>3</v>
      </c>
      <c r="D19" s="7"/>
    </row>
    <row r="20" customFormat="false" ht="27.75" hidden="false" customHeight="true" outlineLevel="0" collapsed="false">
      <c r="A20" s="6" t="s">
        <v>26</v>
      </c>
      <c r="B20" s="13" t="s">
        <v>27</v>
      </c>
      <c r="C20" s="14" t="n">
        <v>2</v>
      </c>
      <c r="D20" s="7"/>
    </row>
    <row r="21" customFormat="false" ht="27.75" hidden="false" customHeight="true" outlineLevel="0" collapsed="false">
      <c r="A21" s="6" t="s">
        <v>28</v>
      </c>
      <c r="B21" s="13" t="s">
        <v>29</v>
      </c>
      <c r="C21" s="14" t="n">
        <v>3</v>
      </c>
      <c r="D21" s="7"/>
    </row>
    <row r="22" customFormat="false" ht="27.75" hidden="false" customHeight="true" outlineLevel="0" collapsed="false">
      <c r="A22" s="6" t="s">
        <v>30</v>
      </c>
      <c r="B22" s="13" t="s">
        <v>31</v>
      </c>
      <c r="C22" s="14" t="n">
        <v>3</v>
      </c>
      <c r="D22" s="7"/>
    </row>
    <row r="23" customFormat="false" ht="27.75" hidden="false" customHeight="true" outlineLevel="0" collapsed="false">
      <c r="A23" s="6" t="s">
        <v>32</v>
      </c>
      <c r="B23" s="13" t="s">
        <v>33</v>
      </c>
      <c r="C23" s="14" t="n">
        <v>2</v>
      </c>
      <c r="D23" s="7"/>
    </row>
    <row r="24" customFormat="false" ht="27.75" hidden="false" customHeight="true" outlineLevel="0" collapsed="false">
      <c r="A24" s="6" t="s">
        <v>34</v>
      </c>
      <c r="B24" s="13" t="s">
        <v>35</v>
      </c>
      <c r="C24" s="14" t="n">
        <v>3</v>
      </c>
      <c r="D24" s="7"/>
    </row>
    <row r="25" customFormat="false" ht="27.75" hidden="false" customHeight="true" outlineLevel="0" collapsed="false">
      <c r="A25" s="6" t="s">
        <v>36</v>
      </c>
      <c r="B25" s="13" t="s">
        <v>37</v>
      </c>
      <c r="C25" s="14" t="n">
        <v>3</v>
      </c>
      <c r="D25" s="7"/>
    </row>
    <row r="26" customFormat="false" ht="15" hidden="false" customHeight="false" outlineLevel="0" collapsed="false">
      <c r="A26" s="6" t="s">
        <v>38</v>
      </c>
      <c r="B26" s="2"/>
      <c r="C26" s="15" t="n">
        <f aca="false">SUM(C18:C25)</f>
        <v>22</v>
      </c>
      <c r="D26" s="2"/>
    </row>
    <row r="27" customFormat="false" ht="24" hidden="false" customHeight="true" outlineLevel="0" collapsed="false">
      <c r="A27" s="6" t="s">
        <v>39</v>
      </c>
      <c r="B27" s="16" t="str">
        <f aca="false">IF(COUNT(C18:C25)&lt;8,"Score all 8 lines",IF(C26&gt;=18,"PURSUE: call them today and book a tasting or walkthrough",IF(C26&gt;=12,"QUALIFY: ask the open questions below before you quote","REFER OUT, or quote at a premium that makes it worth it")))</f>
        <v>PURSUE: call them today and book a tasting or walkthrough</v>
      </c>
      <c r="C27" s="16"/>
      <c r="D27" s="16"/>
    </row>
    <row r="28" customFormat="false" ht="15" hidden="false" customHeight="false" outlineLevel="0" collapsed="false">
      <c r="A28" s="2"/>
      <c r="B28" s="2"/>
      <c r="C28" s="2"/>
      <c r="D28" s="2"/>
    </row>
    <row r="29" customFormat="false" ht="19.5" hidden="false" customHeight="true" outlineLevel="0" collapsed="false">
      <c r="A29" s="5" t="s">
        <v>40</v>
      </c>
      <c r="B29" s="5"/>
      <c r="C29" s="5"/>
      <c r="D29" s="5"/>
    </row>
    <row r="30" customFormat="false" ht="15" hidden="false" customHeight="true" outlineLevel="0" collapsed="false">
      <c r="A30" s="17" t="s">
        <v>41</v>
      </c>
      <c r="B30" s="17"/>
      <c r="C30" s="17"/>
      <c r="D30" s="17"/>
    </row>
    <row r="31" customFormat="false" ht="15" hidden="false" customHeight="true" outlineLevel="0" collapsed="false">
      <c r="A31" s="17" t="s">
        <v>42</v>
      </c>
      <c r="B31" s="17"/>
      <c r="C31" s="17"/>
      <c r="D31" s="17"/>
    </row>
    <row r="32" customFormat="false" ht="15" hidden="false" customHeight="true" outlineLevel="0" collapsed="false">
      <c r="A32" s="17" t="s">
        <v>43</v>
      </c>
      <c r="B32" s="17"/>
      <c r="C32" s="17"/>
      <c r="D32" s="17"/>
    </row>
    <row r="33" customFormat="false" ht="15" hidden="false" customHeight="true" outlineLevel="0" collapsed="false">
      <c r="A33" s="17" t="s">
        <v>44</v>
      </c>
      <c r="B33" s="17"/>
      <c r="C33" s="17"/>
      <c r="D33" s="17"/>
    </row>
    <row r="34" customFormat="false" ht="15" hidden="false" customHeight="true" outlineLevel="0" collapsed="false">
      <c r="A34" s="17" t="s">
        <v>45</v>
      </c>
      <c r="B34" s="17"/>
      <c r="C34" s="17"/>
      <c r="D34" s="17"/>
    </row>
    <row r="35" customFormat="false" ht="15" hidden="false" customHeight="true" outlineLevel="0" collapsed="false">
      <c r="A35" s="17" t="s">
        <v>46</v>
      </c>
      <c r="B35" s="17"/>
      <c r="C35" s="17"/>
      <c r="D35" s="17"/>
    </row>
    <row r="36" customFormat="false" ht="15" hidden="false" customHeight="false" outlineLevel="0" collapsed="false">
      <c r="A36" s="2"/>
      <c r="B36" s="2"/>
      <c r="C36" s="2"/>
      <c r="D36" s="2"/>
    </row>
    <row r="37" customFormat="false" ht="19.5" hidden="false" customHeight="true" outlineLevel="0" collapsed="false">
      <c r="A37" s="5" t="s">
        <v>47</v>
      </c>
      <c r="B37" s="5"/>
      <c r="C37" s="5"/>
      <c r="D37" s="5"/>
    </row>
    <row r="38" customFormat="false" ht="15" hidden="false" customHeight="true" outlineLevel="0" collapsed="false">
      <c r="A38" s="18" t="s">
        <v>48</v>
      </c>
      <c r="B38" s="18"/>
      <c r="C38" s="18"/>
      <c r="D38" s="18"/>
    </row>
    <row r="39" customFormat="false" ht="15" hidden="false" customHeight="true" outlineLevel="0" collapsed="false">
      <c r="A39" s="18" t="s">
        <v>49</v>
      </c>
      <c r="B39" s="18"/>
      <c r="C39" s="18"/>
      <c r="D39" s="18"/>
    </row>
    <row r="40" customFormat="false" ht="15" hidden="false" customHeight="true" outlineLevel="0" collapsed="false">
      <c r="A40" s="18" t="s">
        <v>50</v>
      </c>
      <c r="B40" s="18"/>
      <c r="C40" s="18"/>
      <c r="D40" s="18"/>
    </row>
    <row r="41" customFormat="false" ht="15" hidden="false" customHeight="true" outlineLevel="0" collapsed="false">
      <c r="A41" s="18" t="s">
        <v>51</v>
      </c>
      <c r="B41" s="18"/>
      <c r="C41" s="18"/>
      <c r="D41" s="18"/>
    </row>
    <row r="42" customFormat="false" ht="15" hidden="false" customHeight="true" outlineLevel="0" collapsed="false">
      <c r="A42" s="18" t="s">
        <v>52</v>
      </c>
      <c r="B42" s="18"/>
      <c r="C42" s="18"/>
      <c r="D42" s="18"/>
    </row>
    <row r="43" customFormat="false" ht="15" hidden="false" customHeight="false" outlineLevel="0" collapsed="false">
      <c r="A43" s="2"/>
      <c r="B43" s="2"/>
      <c r="C43" s="2"/>
      <c r="D43" s="2"/>
    </row>
    <row r="44" customFormat="false" ht="15" hidden="false" customHeight="false" outlineLevel="0" collapsed="false">
      <c r="A44" s="19" t="s">
        <v>53</v>
      </c>
      <c r="B44" s="2"/>
      <c r="C44" s="2"/>
      <c r="D44" s="2"/>
    </row>
    <row r="45" customFormat="false" ht="15" hidden="false" customHeight="false" outlineLevel="0" collapsed="false">
      <c r="A45" s="2"/>
      <c r="B45" s="2"/>
      <c r="C45" s="2"/>
      <c r="D45" s="2"/>
    </row>
    <row r="46" customFormat="false" ht="15" hidden="false" customHeight="false" outlineLevel="0" collapsed="false">
      <c r="A46" s="2"/>
      <c r="B46" s="2"/>
      <c r="C46" s="2"/>
      <c r="D46" s="2"/>
    </row>
    <row r="47" customFormat="false" ht="15" hidden="false" customHeight="false" outlineLevel="0" collapsed="false">
      <c r="A47" s="2"/>
      <c r="B47" s="2"/>
      <c r="C47" s="2"/>
      <c r="D47" s="2"/>
    </row>
    <row r="48" customFormat="false" ht="15" hidden="false" customHeight="false" outlineLevel="0" collapsed="false">
      <c r="A48" s="2"/>
      <c r="B48" s="2"/>
      <c r="C48" s="2"/>
      <c r="D48" s="2"/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2"/>
      <c r="B50" s="2"/>
      <c r="C50" s="2"/>
      <c r="D50" s="2"/>
    </row>
    <row r="51" customFormat="false" ht="15" hidden="false" customHeight="false" outlineLevel="0" collapsed="false">
      <c r="A51" s="2"/>
      <c r="B51" s="2"/>
      <c r="C51" s="2"/>
      <c r="D51" s="2"/>
    </row>
    <row r="52" customFormat="false" ht="15" hidden="false" customHeight="false" outlineLevel="0" collapsed="false">
      <c r="A52" s="2"/>
      <c r="B52" s="2"/>
      <c r="C52" s="2"/>
      <c r="D52" s="2"/>
    </row>
    <row r="53" customFormat="false" ht="15" hidden="false" customHeight="false" outlineLevel="0" collapsed="false">
      <c r="A53" s="2"/>
      <c r="B53" s="2"/>
      <c r="C53" s="2"/>
      <c r="D53" s="2"/>
    </row>
    <row r="54" customFormat="false" ht="15" hidden="false" customHeight="false" outlineLevel="0" collapsed="false">
      <c r="A54" s="2"/>
      <c r="B54" s="2"/>
      <c r="C54" s="2"/>
      <c r="D54" s="2"/>
    </row>
    <row r="55" customFormat="false" ht="15" hidden="false" customHeight="false" outlineLevel="0" collapsed="false">
      <c r="A55" s="2"/>
      <c r="B55" s="2"/>
      <c r="C55" s="2"/>
      <c r="D55" s="2"/>
    </row>
    <row r="56" customFormat="false" ht="15" hidden="false" customHeight="false" outlineLevel="0" collapsed="false">
      <c r="A56" s="2"/>
      <c r="B56" s="2"/>
      <c r="C56" s="2"/>
      <c r="D56" s="2"/>
    </row>
    <row r="57" customFormat="false" ht="15" hidden="false" customHeight="false" outlineLevel="0" collapsed="false">
      <c r="A57" s="2"/>
      <c r="B57" s="2"/>
      <c r="C57" s="2"/>
      <c r="D57" s="2"/>
    </row>
    <row r="58" customFormat="false" ht="15" hidden="false" customHeight="false" outlineLevel="0" collapsed="false">
      <c r="A58" s="2"/>
      <c r="B58" s="2"/>
      <c r="C58" s="2"/>
      <c r="D58" s="2"/>
    </row>
    <row r="59" customFormat="false" ht="15" hidden="false" customHeight="false" outlineLevel="0" collapsed="false">
      <c r="A59" s="2"/>
      <c r="B59" s="2"/>
      <c r="C59" s="2"/>
      <c r="D59" s="2"/>
    </row>
    <row r="60" customFormat="false" ht="15" hidden="false" customHeight="false" outlineLevel="0" collapsed="false">
      <c r="A60" s="2"/>
      <c r="B60" s="2"/>
      <c r="C60" s="2"/>
      <c r="D60" s="2"/>
    </row>
    <row r="61" customFormat="false" ht="15" hidden="false" customHeight="false" outlineLevel="0" collapsed="false">
      <c r="A61" s="2"/>
      <c r="B61" s="2"/>
      <c r="C61" s="2"/>
      <c r="D61" s="2"/>
    </row>
    <row r="62" customFormat="false" ht="15" hidden="false" customHeight="false" outlineLevel="0" collapsed="false">
      <c r="A62" s="2"/>
      <c r="B62" s="2"/>
      <c r="C62" s="2"/>
      <c r="D62" s="2"/>
    </row>
    <row r="63" customFormat="false" ht="15" hidden="false" customHeight="false" outlineLevel="0" collapsed="false">
      <c r="A63" s="2"/>
      <c r="B63" s="2"/>
      <c r="C63" s="2"/>
      <c r="D63" s="2"/>
    </row>
    <row r="64" customFormat="false" ht="15" hidden="false" customHeight="false" outlineLevel="0" collapsed="false">
      <c r="A64" s="2"/>
      <c r="B64" s="2"/>
      <c r="C64" s="2"/>
      <c r="D64" s="2"/>
    </row>
    <row r="65" customFormat="false" ht="15" hidden="false" customHeight="false" outlineLevel="0" collapsed="false">
      <c r="A65" s="2"/>
      <c r="B65" s="2"/>
      <c r="C65" s="2"/>
      <c r="D65" s="2"/>
    </row>
    <row r="66" customFormat="false" ht="15" hidden="false" customHeight="false" outlineLevel="0" collapsed="false">
      <c r="A66" s="2"/>
      <c r="B66" s="2"/>
      <c r="C66" s="2"/>
      <c r="D66" s="2"/>
    </row>
    <row r="67" customFormat="false" ht="15" hidden="false" customHeight="false" outlineLevel="0" collapsed="false">
      <c r="A67" s="2"/>
      <c r="B67" s="2"/>
      <c r="C67" s="2"/>
      <c r="D67" s="2"/>
    </row>
    <row r="68" customFormat="false" ht="15" hidden="false" customHeight="false" outlineLevel="0" collapsed="false">
      <c r="A68" s="2"/>
      <c r="B68" s="2"/>
      <c r="C68" s="2"/>
      <c r="D68" s="2"/>
    </row>
    <row r="69" customFormat="false" ht="15" hidden="false" customHeight="false" outlineLevel="0" collapsed="false">
      <c r="A69" s="2"/>
      <c r="B69" s="2"/>
      <c r="C69" s="2"/>
      <c r="D69" s="2"/>
    </row>
    <row r="70" customFormat="false" ht="15" hidden="false" customHeight="false" outlineLevel="0" collapsed="false">
      <c r="A70" s="2"/>
      <c r="B70" s="2"/>
      <c r="C70" s="2"/>
      <c r="D70" s="2"/>
    </row>
    <row r="71" customFormat="false" ht="15" hidden="false" customHeight="false" outlineLevel="0" collapsed="false">
      <c r="A71" s="2"/>
      <c r="B71" s="2"/>
      <c r="C71" s="2"/>
      <c r="D71" s="2"/>
    </row>
    <row r="72" customFormat="false" ht="15" hidden="false" customHeight="false" outlineLevel="0" collapsed="false">
      <c r="A72" s="2"/>
      <c r="B72" s="2"/>
      <c r="C72" s="2"/>
      <c r="D72" s="2"/>
    </row>
    <row r="73" customFormat="false" ht="15" hidden="false" customHeight="false" outlineLevel="0" collapsed="false">
      <c r="A73" s="2"/>
      <c r="B73" s="2"/>
      <c r="C73" s="2"/>
      <c r="D73" s="2"/>
    </row>
    <row r="74" customFormat="false" ht="15" hidden="false" customHeight="false" outlineLevel="0" collapsed="false">
      <c r="A74" s="2"/>
      <c r="B74" s="2"/>
      <c r="C74" s="2"/>
      <c r="D74" s="2"/>
    </row>
    <row r="75" customFormat="false" ht="15" hidden="false" customHeight="false" outlineLevel="0" collapsed="false">
      <c r="A75" s="2"/>
      <c r="B75" s="2"/>
      <c r="C75" s="2"/>
      <c r="D75" s="2"/>
    </row>
    <row r="76" customFormat="false" ht="15" hidden="false" customHeight="false" outlineLevel="0" collapsed="false">
      <c r="A76" s="2"/>
      <c r="B76" s="2"/>
      <c r="C76" s="2"/>
      <c r="D76" s="2"/>
    </row>
    <row r="77" customFormat="false" ht="15" hidden="false" customHeight="false" outlineLevel="0" collapsed="false">
      <c r="A77" s="2"/>
      <c r="B77" s="2"/>
      <c r="C77" s="2"/>
      <c r="D77" s="2"/>
    </row>
    <row r="78" customFormat="false" ht="15" hidden="false" customHeight="false" outlineLevel="0" collapsed="false">
      <c r="A78" s="2"/>
      <c r="B78" s="2"/>
      <c r="C78" s="2"/>
      <c r="D78" s="2"/>
    </row>
    <row r="79" customFormat="false" ht="15" hidden="false" customHeight="false" outlineLevel="0" collapsed="false">
      <c r="A79" s="2"/>
      <c r="B79" s="2"/>
      <c r="C79" s="2"/>
      <c r="D79" s="2"/>
    </row>
    <row r="80" customFormat="false" ht="15" hidden="false" customHeight="false" outlineLevel="0" collapsed="false">
      <c r="A80" s="2"/>
      <c r="B80" s="2"/>
      <c r="C80" s="2"/>
      <c r="D80" s="2"/>
    </row>
    <row r="81" customFormat="false" ht="15" hidden="false" customHeight="false" outlineLevel="0" collapsed="false">
      <c r="A81" s="2"/>
      <c r="B81" s="2"/>
      <c r="C81" s="2"/>
      <c r="D81" s="2"/>
    </row>
    <row r="82" customFormat="false" ht="15" hidden="false" customHeight="false" outlineLevel="0" collapsed="false">
      <c r="A82" s="2"/>
      <c r="B82" s="2"/>
      <c r="C82" s="2"/>
      <c r="D82" s="2"/>
    </row>
    <row r="83" customFormat="false" ht="15" hidden="false" customHeight="false" outlineLevel="0" collapsed="false">
      <c r="A83" s="2"/>
      <c r="B83" s="2"/>
      <c r="C83" s="2"/>
      <c r="D83" s="2"/>
    </row>
    <row r="84" customFormat="false" ht="15" hidden="false" customHeight="false" outlineLevel="0" collapsed="false">
      <c r="A84" s="2"/>
      <c r="B84" s="2"/>
      <c r="C84" s="2"/>
      <c r="D84" s="2"/>
    </row>
    <row r="85" customFormat="false" ht="15" hidden="false" customHeight="false" outlineLevel="0" collapsed="false">
      <c r="A85" s="2"/>
      <c r="B85" s="2"/>
      <c r="C85" s="2"/>
      <c r="D85" s="2"/>
    </row>
    <row r="86" customFormat="false" ht="15" hidden="false" customHeight="false" outlineLevel="0" collapsed="false">
      <c r="A86" s="2"/>
      <c r="B86" s="2"/>
      <c r="C86" s="2"/>
      <c r="D86" s="2"/>
    </row>
    <row r="87" customFormat="false" ht="15" hidden="false" customHeight="false" outlineLevel="0" collapsed="false">
      <c r="A87" s="2"/>
      <c r="B87" s="2"/>
      <c r="C87" s="2"/>
      <c r="D87" s="2"/>
    </row>
    <row r="88" customFormat="false" ht="15" hidden="false" customHeight="false" outlineLevel="0" collapsed="false">
      <c r="A88" s="2"/>
      <c r="B88" s="2"/>
      <c r="C88" s="2"/>
      <c r="D88" s="2"/>
    </row>
    <row r="89" customFormat="false" ht="15" hidden="false" customHeight="false" outlineLevel="0" collapsed="false">
      <c r="A89" s="2"/>
      <c r="B89" s="2"/>
      <c r="C89" s="2"/>
      <c r="D89" s="2"/>
    </row>
    <row r="90" customFormat="false" ht="15" hidden="false" customHeight="false" outlineLevel="0" collapsed="false">
      <c r="A90" s="2"/>
      <c r="B90" s="2"/>
      <c r="C90" s="2"/>
      <c r="D90" s="2"/>
    </row>
    <row r="91" customFormat="false" ht="15" hidden="false" customHeight="false" outlineLevel="0" collapsed="false">
      <c r="A91" s="2"/>
      <c r="B91" s="2"/>
      <c r="C91" s="2"/>
      <c r="D91" s="2"/>
    </row>
    <row r="92" customFormat="false" ht="15" hidden="false" customHeight="false" outlineLevel="0" collapsed="false">
      <c r="A92" s="2"/>
      <c r="B92" s="2"/>
      <c r="C92" s="2"/>
      <c r="D92" s="2"/>
    </row>
    <row r="93" customFormat="false" ht="15" hidden="false" customHeight="false" outlineLevel="0" collapsed="false">
      <c r="A93" s="2"/>
      <c r="B93" s="2"/>
      <c r="C93" s="2"/>
      <c r="D93" s="2"/>
    </row>
    <row r="94" customFormat="false" ht="15" hidden="false" customHeight="false" outlineLevel="0" collapsed="false">
      <c r="A94" s="2"/>
      <c r="B94" s="2"/>
      <c r="C94" s="2"/>
      <c r="D94" s="2"/>
    </row>
    <row r="95" customFormat="false" ht="15" hidden="false" customHeight="false" outlineLevel="0" collapsed="false">
      <c r="A95" s="2"/>
      <c r="B95" s="2"/>
      <c r="C95" s="2"/>
      <c r="D95" s="2"/>
    </row>
    <row r="96" customFormat="false" ht="15" hidden="false" customHeight="false" outlineLevel="0" collapsed="false">
      <c r="A96" s="2"/>
      <c r="B96" s="2"/>
      <c r="C96" s="2"/>
      <c r="D96" s="2"/>
    </row>
    <row r="97" customFormat="false" ht="15" hidden="false" customHeight="false" outlineLevel="0" collapsed="false">
      <c r="A97" s="2"/>
      <c r="B97" s="2"/>
      <c r="C97" s="2"/>
      <c r="D97" s="2"/>
    </row>
    <row r="98" customFormat="false" ht="15" hidden="false" customHeight="false" outlineLevel="0" collapsed="false">
      <c r="A98" s="2"/>
      <c r="B98" s="2"/>
      <c r="C98" s="2"/>
      <c r="D98" s="2"/>
    </row>
    <row r="99" customFormat="false" ht="15" hidden="false" customHeight="false" outlineLevel="0" collapsed="false">
      <c r="A99" s="2"/>
      <c r="B99" s="2"/>
      <c r="C99" s="2"/>
      <c r="D99" s="2"/>
    </row>
    <row r="100" customFormat="false" ht="15" hidden="false" customHeight="false" outlineLevel="0" collapsed="false">
      <c r="A100" s="2"/>
      <c r="B100" s="2"/>
      <c r="C100" s="2"/>
      <c r="D100" s="2"/>
    </row>
    <row r="101" customFormat="false" ht="15" hidden="false" customHeight="false" outlineLevel="0" collapsed="false">
      <c r="A101" s="2"/>
      <c r="B101" s="2"/>
      <c r="C101" s="2"/>
      <c r="D101" s="2"/>
    </row>
    <row r="102" customFormat="false" ht="15" hidden="false" customHeight="false" outlineLevel="0" collapsed="false">
      <c r="A102" s="2"/>
      <c r="B102" s="2"/>
      <c r="C102" s="2"/>
      <c r="D102" s="2"/>
    </row>
    <row r="103" customFormat="false" ht="15" hidden="false" customHeight="false" outlineLevel="0" collapsed="false">
      <c r="A103" s="2"/>
      <c r="B103" s="2"/>
      <c r="C103" s="2"/>
      <c r="D103" s="2"/>
    </row>
    <row r="104" customFormat="false" ht="15" hidden="false" customHeight="false" outlineLevel="0" collapsed="false">
      <c r="A104" s="2"/>
      <c r="B104" s="2"/>
      <c r="C104" s="2"/>
      <c r="D104" s="2"/>
    </row>
    <row r="105" customFormat="false" ht="15" hidden="false" customHeight="false" outlineLevel="0" collapsed="false">
      <c r="A105" s="2"/>
      <c r="B105" s="2"/>
      <c r="C105" s="2"/>
      <c r="D105" s="2"/>
    </row>
    <row r="106" customFormat="false" ht="15" hidden="false" customHeight="false" outlineLevel="0" collapsed="false">
      <c r="A106" s="2"/>
      <c r="B106" s="2"/>
      <c r="C106" s="2"/>
      <c r="D106" s="2"/>
    </row>
    <row r="107" customFormat="false" ht="15" hidden="false" customHeight="false" outlineLevel="0" collapsed="false">
      <c r="A107" s="2"/>
      <c r="B107" s="2"/>
      <c r="C107" s="2"/>
      <c r="D107" s="2"/>
    </row>
    <row r="108" customFormat="false" ht="15" hidden="false" customHeight="false" outlineLevel="0" collapsed="false">
      <c r="A108" s="2"/>
      <c r="B108" s="2"/>
      <c r="C108" s="2"/>
      <c r="D108" s="2"/>
    </row>
    <row r="109" customFormat="false" ht="15" hidden="false" customHeight="false" outlineLevel="0" collapsed="false">
      <c r="A109" s="2"/>
      <c r="B109" s="2"/>
      <c r="C109" s="2"/>
      <c r="D109" s="2"/>
    </row>
    <row r="110" customFormat="false" ht="15" hidden="false" customHeight="false" outlineLevel="0" collapsed="false">
      <c r="A110" s="2"/>
      <c r="B110" s="2"/>
      <c r="C110" s="2"/>
      <c r="D110" s="2"/>
    </row>
    <row r="111" customFormat="false" ht="15" hidden="false" customHeight="false" outlineLevel="0" collapsed="false">
      <c r="A111" s="2"/>
      <c r="B111" s="2"/>
      <c r="C111" s="2"/>
      <c r="D111" s="2"/>
    </row>
    <row r="112" customFormat="false" ht="15" hidden="false" customHeight="false" outlineLevel="0" collapsed="false">
      <c r="A112" s="2"/>
      <c r="B112" s="2"/>
      <c r="C112" s="2"/>
      <c r="D112" s="2"/>
    </row>
    <row r="113" customFormat="false" ht="15" hidden="false" customHeight="false" outlineLevel="0" collapsed="false">
      <c r="A113" s="2"/>
      <c r="B113" s="2"/>
      <c r="C113" s="2"/>
      <c r="D113" s="2"/>
    </row>
    <row r="114" customFormat="false" ht="15" hidden="false" customHeight="false" outlineLevel="0" collapsed="false">
      <c r="A114" s="2"/>
      <c r="B114" s="2"/>
      <c r="C114" s="2"/>
      <c r="D114" s="2"/>
    </row>
    <row r="115" customFormat="false" ht="15" hidden="false" customHeight="false" outlineLevel="0" collapsed="false">
      <c r="A115" s="2"/>
      <c r="B115" s="2"/>
      <c r="C115" s="2"/>
      <c r="D115" s="2"/>
    </row>
    <row r="116" customFormat="false" ht="15" hidden="false" customHeight="false" outlineLevel="0" collapsed="false">
      <c r="A116" s="2"/>
      <c r="B116" s="2"/>
      <c r="C116" s="2"/>
      <c r="D116" s="2"/>
    </row>
    <row r="117" customFormat="false" ht="15" hidden="false" customHeight="false" outlineLevel="0" collapsed="false">
      <c r="A117" s="2"/>
      <c r="B117" s="2"/>
      <c r="C117" s="2"/>
      <c r="D117" s="2"/>
    </row>
    <row r="118" customFormat="false" ht="15" hidden="false" customHeight="false" outlineLevel="0" collapsed="false">
      <c r="A118" s="2"/>
      <c r="B118" s="2"/>
      <c r="C118" s="2"/>
      <c r="D118" s="2"/>
    </row>
    <row r="119" customFormat="false" ht="15" hidden="false" customHeight="false" outlineLevel="0" collapsed="false">
      <c r="A119" s="2"/>
      <c r="B119" s="2"/>
      <c r="C119" s="2"/>
      <c r="D119" s="2"/>
    </row>
    <row r="120" customFormat="false" ht="15" hidden="false" customHeight="false" outlineLevel="0" collapsed="false">
      <c r="A120" s="2"/>
      <c r="B120" s="2"/>
      <c r="C120" s="2"/>
      <c r="D120" s="2"/>
    </row>
    <row r="121" customFormat="false" ht="15" hidden="false" customHeight="false" outlineLevel="0" collapsed="false">
      <c r="A121" s="2"/>
      <c r="B121" s="2"/>
      <c r="C121" s="2"/>
      <c r="D121" s="2"/>
    </row>
    <row r="122" customFormat="false" ht="15" hidden="false" customHeight="false" outlineLevel="0" collapsed="false">
      <c r="A122" s="2"/>
      <c r="B122" s="2"/>
      <c r="C122" s="2"/>
      <c r="D122" s="2"/>
    </row>
    <row r="123" customFormat="false" ht="15" hidden="false" customHeight="false" outlineLevel="0" collapsed="false">
      <c r="A123" s="2"/>
      <c r="B123" s="2"/>
      <c r="C123" s="2"/>
      <c r="D123" s="2"/>
    </row>
    <row r="124" customFormat="false" ht="15" hidden="false" customHeight="false" outlineLevel="0" collapsed="false">
      <c r="A124" s="2"/>
      <c r="B124" s="2"/>
      <c r="C124" s="2"/>
      <c r="D124" s="2"/>
    </row>
    <row r="125" customFormat="false" ht="15" hidden="false" customHeight="false" outlineLevel="0" collapsed="false">
      <c r="A125" s="2"/>
      <c r="B125" s="2"/>
      <c r="C125" s="2"/>
      <c r="D125" s="2"/>
    </row>
    <row r="126" customFormat="false" ht="15" hidden="false" customHeight="false" outlineLevel="0" collapsed="false">
      <c r="A126" s="2"/>
      <c r="B126" s="2"/>
      <c r="C126" s="2"/>
      <c r="D126" s="2"/>
    </row>
    <row r="127" customFormat="false" ht="15" hidden="false" customHeight="false" outlineLevel="0" collapsed="false">
      <c r="A127" s="2"/>
      <c r="B127" s="2"/>
      <c r="C127" s="2"/>
      <c r="D127" s="2"/>
    </row>
    <row r="128" customFormat="false" ht="15" hidden="false" customHeight="false" outlineLevel="0" collapsed="false">
      <c r="A128" s="2"/>
      <c r="B128" s="2"/>
      <c r="C128" s="2"/>
      <c r="D128" s="2"/>
    </row>
    <row r="129" customFormat="false" ht="15" hidden="false" customHeight="false" outlineLevel="0" collapsed="false">
      <c r="A129" s="2"/>
      <c r="B129" s="2"/>
      <c r="C129" s="2"/>
      <c r="D129" s="2"/>
    </row>
    <row r="130" customFormat="false" ht="15" hidden="false" customHeight="false" outlineLevel="0" collapsed="false">
      <c r="A130" s="2"/>
      <c r="B130" s="2"/>
      <c r="C130" s="2"/>
      <c r="D130" s="2"/>
    </row>
    <row r="131" customFormat="false" ht="15" hidden="false" customHeight="false" outlineLevel="0" collapsed="false">
      <c r="A131" s="2"/>
      <c r="B131" s="2"/>
      <c r="C131" s="2"/>
      <c r="D131" s="2"/>
    </row>
    <row r="132" customFormat="false" ht="15" hidden="false" customHeight="false" outlineLevel="0" collapsed="false">
      <c r="A132" s="2"/>
      <c r="B132" s="2"/>
      <c r="C132" s="2"/>
      <c r="D132" s="2"/>
    </row>
    <row r="133" customFormat="false" ht="15" hidden="false" customHeight="false" outlineLevel="0" collapsed="false">
      <c r="A133" s="2"/>
      <c r="B133" s="2"/>
      <c r="C133" s="2"/>
      <c r="D133" s="2"/>
    </row>
    <row r="134" customFormat="false" ht="15" hidden="false" customHeight="false" outlineLevel="0" collapsed="false">
      <c r="A134" s="2"/>
      <c r="B134" s="2"/>
      <c r="C134" s="2"/>
      <c r="D134" s="2"/>
    </row>
    <row r="135" customFormat="false" ht="15" hidden="false" customHeight="false" outlineLevel="0" collapsed="false">
      <c r="A135" s="2"/>
      <c r="B135" s="2"/>
      <c r="C135" s="2"/>
      <c r="D135" s="2"/>
    </row>
    <row r="136" customFormat="false" ht="15" hidden="false" customHeight="false" outlineLevel="0" collapsed="false">
      <c r="A136" s="2"/>
      <c r="B136" s="2"/>
      <c r="C136" s="2"/>
      <c r="D136" s="2"/>
    </row>
    <row r="137" customFormat="false" ht="15" hidden="false" customHeight="false" outlineLevel="0" collapsed="false">
      <c r="A137" s="2"/>
      <c r="B137" s="2"/>
      <c r="C137" s="2"/>
      <c r="D137" s="2"/>
    </row>
    <row r="138" customFormat="false" ht="15" hidden="false" customHeight="false" outlineLevel="0" collapsed="false">
      <c r="A138" s="2"/>
      <c r="B138" s="2"/>
      <c r="C138" s="2"/>
      <c r="D138" s="2"/>
    </row>
    <row r="139" customFormat="false" ht="15" hidden="false" customHeight="false" outlineLevel="0" collapsed="false">
      <c r="A139" s="2"/>
      <c r="B139" s="2"/>
      <c r="C139" s="2"/>
      <c r="D139" s="2"/>
    </row>
    <row r="140" customFormat="false" ht="15" hidden="false" customHeight="false" outlineLevel="0" collapsed="false">
      <c r="A140" s="2"/>
      <c r="B140" s="2"/>
      <c r="C140" s="2"/>
      <c r="D140" s="2"/>
    </row>
    <row r="141" customFormat="false" ht="15" hidden="false" customHeight="false" outlineLevel="0" collapsed="false">
      <c r="A141" s="2"/>
      <c r="B141" s="2"/>
      <c r="C141" s="2"/>
      <c r="D141" s="2"/>
    </row>
    <row r="142" customFormat="false" ht="15" hidden="false" customHeight="false" outlineLevel="0" collapsed="false">
      <c r="A142" s="2"/>
      <c r="B142" s="2"/>
      <c r="C142" s="2"/>
      <c r="D142" s="2"/>
    </row>
    <row r="143" customFormat="false" ht="15" hidden="false" customHeight="false" outlineLevel="0" collapsed="false">
      <c r="A143" s="2"/>
      <c r="B143" s="2"/>
      <c r="C143" s="2"/>
      <c r="D143" s="2"/>
    </row>
    <row r="144" customFormat="false" ht="15" hidden="false" customHeight="false" outlineLevel="0" collapsed="false">
      <c r="A144" s="2"/>
      <c r="B144" s="2"/>
      <c r="C144" s="2"/>
      <c r="D144" s="2"/>
    </row>
    <row r="145" customFormat="false" ht="15" hidden="false" customHeight="false" outlineLevel="0" collapsed="false">
      <c r="A145" s="2"/>
      <c r="B145" s="2"/>
      <c r="C145" s="2"/>
      <c r="D145" s="2"/>
    </row>
    <row r="146" customFormat="false" ht="15" hidden="false" customHeight="false" outlineLevel="0" collapsed="false">
      <c r="A146" s="2"/>
      <c r="B146" s="2"/>
      <c r="C146" s="2"/>
      <c r="D146" s="2"/>
    </row>
    <row r="147" customFormat="false" ht="15" hidden="false" customHeight="false" outlineLevel="0" collapsed="false">
      <c r="A147" s="2"/>
      <c r="B147" s="2"/>
      <c r="C147" s="2"/>
      <c r="D147" s="2"/>
    </row>
    <row r="148" customFormat="false" ht="15" hidden="false" customHeight="false" outlineLevel="0" collapsed="false">
      <c r="A148" s="2"/>
      <c r="B148" s="2"/>
      <c r="C148" s="2"/>
      <c r="D148" s="2"/>
    </row>
    <row r="149" customFormat="false" ht="15" hidden="false" customHeight="false" outlineLevel="0" collapsed="false">
      <c r="A149" s="2"/>
      <c r="B149" s="2"/>
      <c r="C149" s="2"/>
      <c r="D149" s="2"/>
    </row>
    <row r="150" customFormat="false" ht="15" hidden="false" customHeight="false" outlineLevel="0" collapsed="false">
      <c r="A150" s="2"/>
      <c r="B150" s="2"/>
      <c r="C150" s="2"/>
      <c r="D150" s="2"/>
    </row>
    <row r="151" customFormat="false" ht="15" hidden="false" customHeight="false" outlineLevel="0" collapsed="false">
      <c r="A151" s="2"/>
      <c r="B151" s="2"/>
      <c r="C151" s="2"/>
      <c r="D151" s="2"/>
    </row>
    <row r="152" customFormat="false" ht="15" hidden="false" customHeight="false" outlineLevel="0" collapsed="false">
      <c r="A152" s="2"/>
      <c r="B152" s="2"/>
      <c r="C152" s="2"/>
      <c r="D152" s="2"/>
    </row>
    <row r="153" customFormat="false" ht="15" hidden="false" customHeight="false" outlineLevel="0" collapsed="false">
      <c r="A153" s="2"/>
      <c r="B153" s="2"/>
      <c r="C153" s="2"/>
      <c r="D153" s="2"/>
    </row>
    <row r="154" customFormat="false" ht="15" hidden="false" customHeight="false" outlineLevel="0" collapsed="false">
      <c r="A154" s="2"/>
      <c r="B154" s="2"/>
      <c r="C154" s="2"/>
      <c r="D154" s="2"/>
    </row>
    <row r="155" customFormat="false" ht="15" hidden="false" customHeight="false" outlineLevel="0" collapsed="false">
      <c r="A155" s="2"/>
      <c r="B155" s="2"/>
      <c r="C155" s="2"/>
      <c r="D155" s="2"/>
    </row>
    <row r="156" customFormat="false" ht="15" hidden="false" customHeight="false" outlineLevel="0" collapsed="false">
      <c r="A156" s="2"/>
      <c r="B156" s="2"/>
      <c r="C156" s="2"/>
      <c r="D156" s="2"/>
    </row>
    <row r="157" customFormat="false" ht="15" hidden="false" customHeight="false" outlineLevel="0" collapsed="false">
      <c r="A157" s="2"/>
      <c r="B157" s="2"/>
      <c r="C157" s="2"/>
      <c r="D157" s="2"/>
    </row>
    <row r="158" customFormat="false" ht="15" hidden="false" customHeight="false" outlineLevel="0" collapsed="false">
      <c r="A158" s="2"/>
      <c r="B158" s="2"/>
      <c r="C158" s="2"/>
      <c r="D158" s="2"/>
    </row>
    <row r="159" customFormat="false" ht="15" hidden="false" customHeight="false" outlineLevel="0" collapsed="false">
      <c r="A159" s="2"/>
      <c r="B159" s="2"/>
      <c r="C159" s="2"/>
      <c r="D159" s="2"/>
    </row>
    <row r="160" customFormat="false" ht="15" hidden="false" customHeight="false" outlineLevel="0" collapsed="false">
      <c r="A160" s="2"/>
      <c r="B160" s="2"/>
      <c r="C160" s="2"/>
      <c r="D160" s="2"/>
    </row>
    <row r="161" customFormat="false" ht="15" hidden="false" customHeight="false" outlineLevel="0" collapsed="false">
      <c r="A161" s="2"/>
      <c r="B161" s="2"/>
      <c r="C161" s="2"/>
      <c r="D161" s="2"/>
    </row>
    <row r="162" customFormat="false" ht="15" hidden="false" customHeight="false" outlineLevel="0" collapsed="false">
      <c r="A162" s="2"/>
      <c r="B162" s="2"/>
      <c r="C162" s="2"/>
      <c r="D162" s="2"/>
    </row>
    <row r="163" customFormat="false" ht="15" hidden="false" customHeight="false" outlineLevel="0" collapsed="false">
      <c r="A163" s="2"/>
      <c r="B163" s="2"/>
      <c r="C163" s="2"/>
      <c r="D163" s="2"/>
    </row>
    <row r="164" customFormat="false" ht="15" hidden="false" customHeight="false" outlineLevel="0" collapsed="false">
      <c r="A164" s="2"/>
      <c r="B164" s="2"/>
      <c r="C164" s="2"/>
      <c r="D164" s="2"/>
    </row>
    <row r="165" customFormat="false" ht="15" hidden="false" customHeight="false" outlineLevel="0" collapsed="false">
      <c r="A165" s="2"/>
      <c r="B165" s="2"/>
      <c r="C165" s="2"/>
      <c r="D165" s="2"/>
    </row>
    <row r="166" customFormat="false" ht="15" hidden="false" customHeight="false" outlineLevel="0" collapsed="false">
      <c r="A166" s="2"/>
      <c r="B166" s="2"/>
      <c r="C166" s="2"/>
      <c r="D166" s="2"/>
    </row>
    <row r="167" customFormat="false" ht="15" hidden="false" customHeight="false" outlineLevel="0" collapsed="false">
      <c r="A167" s="2"/>
      <c r="B167" s="2"/>
      <c r="C167" s="2"/>
      <c r="D167" s="2"/>
    </row>
    <row r="168" customFormat="false" ht="15" hidden="false" customHeight="false" outlineLevel="0" collapsed="false">
      <c r="A168" s="2"/>
      <c r="B168" s="2"/>
      <c r="C168" s="2"/>
      <c r="D168" s="2"/>
    </row>
    <row r="169" customFormat="false" ht="15" hidden="false" customHeight="false" outlineLevel="0" collapsed="false">
      <c r="A169" s="2"/>
      <c r="B169" s="2"/>
      <c r="C169" s="2"/>
      <c r="D169" s="2"/>
    </row>
    <row r="170" customFormat="false" ht="15" hidden="false" customHeight="false" outlineLevel="0" collapsed="false">
      <c r="A170" s="2"/>
      <c r="B170" s="2"/>
      <c r="C170" s="2"/>
      <c r="D170" s="2"/>
    </row>
    <row r="171" customFormat="false" ht="15" hidden="false" customHeight="false" outlineLevel="0" collapsed="false">
      <c r="A171" s="2"/>
      <c r="B171" s="2"/>
      <c r="C171" s="2"/>
      <c r="D171" s="2"/>
    </row>
    <row r="172" customFormat="false" ht="15" hidden="false" customHeight="false" outlineLevel="0" collapsed="false">
      <c r="A172" s="2"/>
      <c r="B172" s="2"/>
      <c r="C172" s="2"/>
      <c r="D172" s="2"/>
    </row>
    <row r="173" customFormat="false" ht="15" hidden="false" customHeight="false" outlineLevel="0" collapsed="false">
      <c r="A173" s="2"/>
      <c r="B173" s="2"/>
      <c r="C173" s="2"/>
      <c r="D173" s="2"/>
    </row>
    <row r="174" customFormat="false" ht="15" hidden="false" customHeight="false" outlineLevel="0" collapsed="false">
      <c r="A174" s="2"/>
      <c r="B174" s="2"/>
      <c r="C174" s="2"/>
      <c r="D174" s="2"/>
    </row>
    <row r="175" customFormat="false" ht="15" hidden="false" customHeight="false" outlineLevel="0" collapsed="false">
      <c r="A175" s="2"/>
      <c r="B175" s="2"/>
      <c r="C175" s="2"/>
      <c r="D175" s="2"/>
    </row>
    <row r="176" customFormat="false" ht="15" hidden="false" customHeight="false" outlineLevel="0" collapsed="false">
      <c r="A176" s="2"/>
      <c r="B176" s="2"/>
      <c r="C176" s="2"/>
      <c r="D176" s="2"/>
    </row>
    <row r="177" customFormat="false" ht="15" hidden="false" customHeight="false" outlineLevel="0" collapsed="false">
      <c r="A177" s="2"/>
      <c r="B177" s="2"/>
      <c r="C177" s="2"/>
      <c r="D177" s="2"/>
    </row>
    <row r="178" customFormat="false" ht="15" hidden="false" customHeight="false" outlineLevel="0" collapsed="false">
      <c r="A178" s="2"/>
      <c r="B178" s="2"/>
      <c r="C178" s="2"/>
      <c r="D178" s="2"/>
    </row>
    <row r="179" customFormat="false" ht="15" hidden="false" customHeight="false" outlineLevel="0" collapsed="false">
      <c r="A179" s="2"/>
      <c r="B179" s="2"/>
      <c r="C179" s="2"/>
      <c r="D179" s="2"/>
    </row>
    <row r="180" customFormat="false" ht="15" hidden="false" customHeight="false" outlineLevel="0" collapsed="false">
      <c r="A180" s="2"/>
      <c r="B180" s="2"/>
      <c r="C180" s="2"/>
      <c r="D180" s="2"/>
    </row>
    <row r="181" customFormat="false" ht="15" hidden="false" customHeight="false" outlineLevel="0" collapsed="false">
      <c r="A181" s="2"/>
      <c r="B181" s="2"/>
      <c r="C181" s="2"/>
      <c r="D181" s="2"/>
    </row>
    <row r="182" customFormat="false" ht="15" hidden="false" customHeight="false" outlineLevel="0" collapsed="false">
      <c r="A182" s="2"/>
      <c r="B182" s="2"/>
      <c r="C182" s="2"/>
      <c r="D182" s="2"/>
    </row>
    <row r="183" customFormat="false" ht="15" hidden="false" customHeight="false" outlineLevel="0" collapsed="false">
      <c r="A183" s="2"/>
      <c r="B183" s="2"/>
      <c r="C183" s="2"/>
      <c r="D183" s="2"/>
    </row>
    <row r="184" customFormat="false" ht="15" hidden="false" customHeight="false" outlineLevel="0" collapsed="false">
      <c r="A184" s="2"/>
      <c r="B184" s="2"/>
      <c r="C184" s="2"/>
      <c r="D184" s="2"/>
    </row>
    <row r="185" customFormat="false" ht="15" hidden="false" customHeight="false" outlineLevel="0" collapsed="false">
      <c r="A185" s="2"/>
      <c r="B185" s="2"/>
      <c r="C185" s="2"/>
      <c r="D185" s="2"/>
    </row>
    <row r="186" customFormat="false" ht="15" hidden="false" customHeight="false" outlineLevel="0" collapsed="false">
      <c r="A186" s="2"/>
      <c r="B186" s="2"/>
      <c r="C186" s="2"/>
      <c r="D186" s="2"/>
    </row>
    <row r="187" customFormat="false" ht="15" hidden="false" customHeight="false" outlineLevel="0" collapsed="false">
      <c r="A187" s="2"/>
      <c r="B187" s="2"/>
      <c r="C187" s="2"/>
      <c r="D187" s="2"/>
    </row>
    <row r="188" customFormat="false" ht="15" hidden="false" customHeight="false" outlineLevel="0" collapsed="false">
      <c r="A188" s="2"/>
      <c r="B188" s="2"/>
      <c r="C188" s="2"/>
      <c r="D188" s="2"/>
    </row>
    <row r="189" customFormat="false" ht="15" hidden="false" customHeight="false" outlineLevel="0" collapsed="false">
      <c r="A189" s="2"/>
      <c r="B189" s="2"/>
      <c r="C189" s="2"/>
      <c r="D189" s="2"/>
    </row>
    <row r="190" customFormat="false" ht="15" hidden="false" customHeight="false" outlineLevel="0" collapsed="false">
      <c r="A190" s="2"/>
      <c r="B190" s="2"/>
      <c r="C190" s="2"/>
      <c r="D190" s="2"/>
    </row>
    <row r="191" customFormat="false" ht="15" hidden="false" customHeight="false" outlineLevel="0" collapsed="false">
      <c r="A191" s="2"/>
      <c r="B191" s="2"/>
      <c r="C191" s="2"/>
      <c r="D191" s="2"/>
    </row>
    <row r="192" customFormat="false" ht="15" hidden="false" customHeight="false" outlineLevel="0" collapsed="false">
      <c r="A192" s="2"/>
      <c r="B192" s="2"/>
      <c r="C192" s="2"/>
      <c r="D192" s="2"/>
    </row>
    <row r="193" customFormat="false" ht="15" hidden="false" customHeight="false" outlineLevel="0" collapsed="false">
      <c r="A193" s="2"/>
      <c r="B193" s="2"/>
      <c r="C193" s="2"/>
      <c r="D193" s="2"/>
    </row>
    <row r="194" customFormat="false" ht="15" hidden="false" customHeight="false" outlineLevel="0" collapsed="false">
      <c r="A194" s="2"/>
      <c r="B194" s="2"/>
      <c r="C194" s="2"/>
      <c r="D194" s="2"/>
    </row>
    <row r="195" customFormat="false" ht="15" hidden="false" customHeight="false" outlineLevel="0" collapsed="false">
      <c r="A195" s="2"/>
      <c r="B195" s="2"/>
      <c r="C195" s="2"/>
      <c r="D195" s="2"/>
    </row>
    <row r="196" customFormat="false" ht="15" hidden="false" customHeight="false" outlineLevel="0" collapsed="false">
      <c r="A196" s="2"/>
      <c r="B196" s="2"/>
      <c r="C196" s="2"/>
      <c r="D196" s="2"/>
    </row>
    <row r="197" customFormat="false" ht="15" hidden="false" customHeight="false" outlineLevel="0" collapsed="false">
      <c r="A197" s="2"/>
      <c r="B197" s="2"/>
      <c r="C197" s="2"/>
      <c r="D197" s="2"/>
    </row>
    <row r="198" customFormat="false" ht="15" hidden="false" customHeight="false" outlineLevel="0" collapsed="false">
      <c r="A198" s="2"/>
      <c r="B198" s="2"/>
      <c r="C198" s="2"/>
      <c r="D198" s="2"/>
    </row>
    <row r="199" customFormat="false" ht="15" hidden="false" customHeight="false" outlineLevel="0" collapsed="false">
      <c r="A199" s="2"/>
      <c r="B199" s="2"/>
      <c r="C199" s="2"/>
      <c r="D199" s="2"/>
    </row>
    <row r="200" customFormat="false" ht="15" hidden="false" customHeight="false" outlineLevel="0" collapsed="false">
      <c r="A200" s="2"/>
      <c r="B200" s="2"/>
      <c r="C200" s="2"/>
      <c r="D200" s="2"/>
    </row>
    <row r="201" customFormat="false" ht="15" hidden="false" customHeight="false" outlineLevel="0" collapsed="false">
      <c r="A201" s="2"/>
      <c r="B201" s="2"/>
      <c r="C201" s="2"/>
      <c r="D201" s="2"/>
    </row>
    <row r="202" customFormat="false" ht="15" hidden="false" customHeight="false" outlineLevel="0" collapsed="false">
      <c r="A202" s="2"/>
      <c r="B202" s="2"/>
      <c r="C202" s="2"/>
      <c r="D202" s="2"/>
    </row>
    <row r="203" customFormat="false" ht="15" hidden="false" customHeight="false" outlineLevel="0" collapsed="false">
      <c r="A203" s="2"/>
      <c r="B203" s="2"/>
      <c r="C203" s="2"/>
      <c r="D203" s="2"/>
    </row>
    <row r="204" customFormat="false" ht="15" hidden="false" customHeight="false" outlineLevel="0" collapsed="false">
      <c r="A204" s="2"/>
      <c r="B204" s="2"/>
      <c r="C204" s="2"/>
      <c r="D204" s="2"/>
    </row>
    <row r="205" customFormat="false" ht="15" hidden="false" customHeight="false" outlineLevel="0" collapsed="false">
      <c r="A205" s="2"/>
      <c r="B205" s="2"/>
      <c r="C205" s="2"/>
      <c r="D205" s="2"/>
    </row>
    <row r="206" customFormat="false" ht="15" hidden="false" customHeight="false" outlineLevel="0" collapsed="false">
      <c r="A206" s="2"/>
      <c r="B206" s="2"/>
      <c r="C206" s="2"/>
      <c r="D206" s="2"/>
    </row>
    <row r="207" customFormat="false" ht="15" hidden="false" customHeight="false" outlineLevel="0" collapsed="false">
      <c r="A207" s="2"/>
      <c r="B207" s="2"/>
      <c r="C207" s="2"/>
      <c r="D207" s="2"/>
    </row>
    <row r="208" customFormat="false" ht="15" hidden="false" customHeight="false" outlineLevel="0" collapsed="false">
      <c r="A208" s="2"/>
      <c r="B208" s="2"/>
      <c r="C208" s="2"/>
      <c r="D208" s="2"/>
    </row>
    <row r="209" customFormat="false" ht="15" hidden="false" customHeight="false" outlineLevel="0" collapsed="false">
      <c r="A209" s="2"/>
      <c r="B209" s="2"/>
      <c r="C209" s="2"/>
      <c r="D209" s="2"/>
    </row>
    <row r="210" customFormat="false" ht="15" hidden="false" customHeight="false" outlineLevel="0" collapsed="false">
      <c r="A210" s="2"/>
      <c r="B210" s="2"/>
      <c r="C210" s="2"/>
      <c r="D210" s="2"/>
    </row>
    <row r="211" customFormat="false" ht="15" hidden="false" customHeight="false" outlineLevel="0" collapsed="false">
      <c r="A211" s="2"/>
      <c r="B211" s="2"/>
      <c r="C211" s="2"/>
      <c r="D211" s="2"/>
    </row>
    <row r="212" customFormat="false" ht="15" hidden="false" customHeight="false" outlineLevel="0" collapsed="false">
      <c r="A212" s="2"/>
      <c r="B212" s="2"/>
      <c r="C212" s="2"/>
      <c r="D212" s="2"/>
    </row>
    <row r="213" customFormat="false" ht="15" hidden="false" customHeight="false" outlineLevel="0" collapsed="false">
      <c r="A213" s="2"/>
      <c r="B213" s="2"/>
      <c r="C213" s="2"/>
      <c r="D213" s="2"/>
    </row>
    <row r="214" customFormat="false" ht="15" hidden="false" customHeight="false" outlineLevel="0" collapsed="false">
      <c r="A214" s="2"/>
      <c r="B214" s="2"/>
      <c r="C214" s="2"/>
      <c r="D214" s="2"/>
    </row>
    <row r="215" customFormat="false" ht="15" hidden="false" customHeight="false" outlineLevel="0" collapsed="false">
      <c r="A215" s="2"/>
      <c r="B215" s="2"/>
      <c r="C215" s="2"/>
      <c r="D215" s="2"/>
    </row>
    <row r="216" customFormat="false" ht="15" hidden="false" customHeight="false" outlineLevel="0" collapsed="false">
      <c r="A216" s="2"/>
      <c r="B216" s="2"/>
      <c r="C216" s="2"/>
      <c r="D216" s="2"/>
    </row>
    <row r="217" customFormat="false" ht="15" hidden="false" customHeight="false" outlineLevel="0" collapsed="false">
      <c r="A217" s="2"/>
      <c r="B217" s="2"/>
      <c r="C217" s="2"/>
      <c r="D217" s="2"/>
    </row>
    <row r="218" customFormat="false" ht="15" hidden="false" customHeight="false" outlineLevel="0" collapsed="false">
      <c r="A218" s="2"/>
      <c r="B218" s="2"/>
      <c r="C218" s="2"/>
      <c r="D218" s="2"/>
    </row>
    <row r="219" customFormat="false" ht="15" hidden="false" customHeight="false" outlineLevel="0" collapsed="false">
      <c r="A219" s="2"/>
      <c r="B219" s="2"/>
      <c r="C219" s="2"/>
      <c r="D219" s="2"/>
    </row>
    <row r="220" customFormat="false" ht="15" hidden="false" customHeight="false" outlineLevel="0" collapsed="false">
      <c r="A220" s="2"/>
      <c r="B220" s="2"/>
      <c r="C220" s="2"/>
      <c r="D220" s="2"/>
    </row>
    <row r="221" customFormat="false" ht="15" hidden="false" customHeight="false" outlineLevel="0" collapsed="false">
      <c r="A221" s="2"/>
      <c r="B221" s="2"/>
      <c r="C221" s="2"/>
      <c r="D221" s="2"/>
    </row>
    <row r="222" customFormat="false" ht="15" hidden="false" customHeight="false" outlineLevel="0" collapsed="false">
      <c r="A222" s="2"/>
      <c r="B222" s="2"/>
      <c r="C222" s="2"/>
      <c r="D222" s="2"/>
    </row>
    <row r="223" customFormat="false" ht="15" hidden="false" customHeight="false" outlineLevel="0" collapsed="false">
      <c r="A223" s="2"/>
      <c r="B223" s="2"/>
      <c r="C223" s="2"/>
      <c r="D223" s="2"/>
    </row>
    <row r="224" customFormat="false" ht="15" hidden="false" customHeight="false" outlineLevel="0" collapsed="false">
      <c r="A224" s="2"/>
      <c r="B224" s="2"/>
      <c r="C224" s="2"/>
      <c r="D224" s="2"/>
    </row>
    <row r="225" customFormat="false" ht="15" hidden="false" customHeight="false" outlineLevel="0" collapsed="false">
      <c r="A225" s="2"/>
      <c r="B225" s="2"/>
      <c r="C225" s="2"/>
      <c r="D225" s="2"/>
    </row>
    <row r="226" customFormat="false" ht="15" hidden="false" customHeight="false" outlineLevel="0" collapsed="false">
      <c r="A226" s="2"/>
      <c r="B226" s="2"/>
      <c r="C226" s="2"/>
      <c r="D226" s="2"/>
    </row>
    <row r="227" customFormat="false" ht="15" hidden="false" customHeight="false" outlineLevel="0" collapsed="false">
      <c r="A227" s="2"/>
      <c r="B227" s="2"/>
      <c r="C227" s="2"/>
      <c r="D227" s="2"/>
    </row>
    <row r="228" customFormat="false" ht="15" hidden="false" customHeight="false" outlineLevel="0" collapsed="false">
      <c r="A228" s="2"/>
      <c r="B228" s="2"/>
      <c r="C228" s="2"/>
      <c r="D228" s="2"/>
    </row>
    <row r="229" customFormat="false" ht="15" hidden="false" customHeight="false" outlineLevel="0" collapsed="false">
      <c r="A229" s="2"/>
      <c r="B229" s="2"/>
      <c r="C229" s="2"/>
      <c r="D229" s="2"/>
    </row>
    <row r="230" customFormat="false" ht="15" hidden="false" customHeight="false" outlineLevel="0" collapsed="false">
      <c r="A230" s="2"/>
      <c r="B230" s="2"/>
      <c r="C230" s="2"/>
      <c r="D230" s="2"/>
    </row>
    <row r="231" customFormat="false" ht="15" hidden="false" customHeight="false" outlineLevel="0" collapsed="false">
      <c r="A231" s="2"/>
      <c r="B231" s="2"/>
      <c r="C231" s="2"/>
      <c r="D231" s="2"/>
    </row>
    <row r="232" customFormat="false" ht="15" hidden="false" customHeight="false" outlineLevel="0" collapsed="false">
      <c r="A232" s="2"/>
      <c r="B232" s="2"/>
      <c r="C232" s="2"/>
      <c r="D232" s="2"/>
    </row>
    <row r="233" customFormat="false" ht="15" hidden="false" customHeight="false" outlineLevel="0" collapsed="false">
      <c r="A233" s="2"/>
      <c r="B233" s="2"/>
      <c r="C233" s="2"/>
      <c r="D233" s="2"/>
    </row>
    <row r="234" customFormat="false" ht="15" hidden="false" customHeight="false" outlineLevel="0" collapsed="false">
      <c r="A234" s="2"/>
      <c r="B234" s="2"/>
      <c r="C234" s="2"/>
      <c r="D234" s="2"/>
    </row>
    <row r="235" customFormat="false" ht="15" hidden="false" customHeight="false" outlineLevel="0" collapsed="false">
      <c r="A235" s="2"/>
      <c r="B235" s="2"/>
      <c r="C235" s="2"/>
      <c r="D235" s="2"/>
    </row>
    <row r="236" customFormat="false" ht="15" hidden="false" customHeight="false" outlineLevel="0" collapsed="false">
      <c r="A236" s="2"/>
      <c r="B236" s="2"/>
      <c r="C236" s="2"/>
      <c r="D236" s="2"/>
    </row>
    <row r="237" customFormat="false" ht="15" hidden="false" customHeight="false" outlineLevel="0" collapsed="false">
      <c r="A237" s="2"/>
      <c r="B237" s="2"/>
      <c r="C237" s="2"/>
      <c r="D237" s="2"/>
    </row>
    <row r="238" customFormat="false" ht="15" hidden="false" customHeight="false" outlineLevel="0" collapsed="false">
      <c r="A238" s="2"/>
      <c r="B238" s="2"/>
      <c r="C238" s="2"/>
      <c r="D238" s="2"/>
    </row>
    <row r="239" customFormat="false" ht="15" hidden="false" customHeight="false" outlineLevel="0" collapsed="false">
      <c r="A239" s="2"/>
      <c r="B239" s="2"/>
      <c r="C239" s="2"/>
      <c r="D239" s="2"/>
    </row>
    <row r="240" customFormat="false" ht="15" hidden="false" customHeight="false" outlineLevel="0" collapsed="false">
      <c r="A240" s="2"/>
      <c r="B240" s="2"/>
      <c r="C240" s="2"/>
      <c r="D240" s="2"/>
    </row>
    <row r="241" customFormat="false" ht="15" hidden="false" customHeight="false" outlineLevel="0" collapsed="false">
      <c r="A241" s="2"/>
      <c r="B241" s="2"/>
      <c r="C241" s="2"/>
      <c r="D241" s="2"/>
    </row>
    <row r="242" customFormat="false" ht="15" hidden="false" customHeight="false" outlineLevel="0" collapsed="false">
      <c r="A242" s="2"/>
      <c r="B242" s="2"/>
      <c r="C242" s="2"/>
      <c r="D242" s="2"/>
    </row>
    <row r="243" customFormat="false" ht="15" hidden="false" customHeight="false" outlineLevel="0" collapsed="false">
      <c r="A243" s="2"/>
      <c r="B243" s="2"/>
      <c r="C243" s="2"/>
      <c r="D243" s="2"/>
    </row>
    <row r="244" customFormat="false" ht="15" hidden="false" customHeight="false" outlineLevel="0" collapsed="false">
      <c r="A244" s="2"/>
      <c r="B244" s="2"/>
      <c r="C244" s="2"/>
      <c r="D244" s="2"/>
    </row>
    <row r="245" customFormat="false" ht="15" hidden="false" customHeight="false" outlineLevel="0" collapsed="false">
      <c r="A245" s="2"/>
      <c r="B245" s="2"/>
      <c r="C245" s="2"/>
      <c r="D245" s="2"/>
    </row>
    <row r="246" customFormat="false" ht="15" hidden="false" customHeight="false" outlineLevel="0" collapsed="false">
      <c r="A246" s="2"/>
      <c r="B246" s="2"/>
      <c r="C246" s="2"/>
      <c r="D246" s="2"/>
    </row>
    <row r="247" customFormat="false" ht="15" hidden="false" customHeight="false" outlineLevel="0" collapsed="false">
      <c r="A247" s="2"/>
      <c r="B247" s="2"/>
      <c r="C247" s="2"/>
      <c r="D247" s="2"/>
    </row>
    <row r="248" customFormat="false" ht="15" hidden="false" customHeight="false" outlineLevel="0" collapsed="false">
      <c r="A248" s="2"/>
      <c r="B248" s="2"/>
      <c r="C248" s="2"/>
      <c r="D248" s="2"/>
    </row>
    <row r="249" customFormat="false" ht="15" hidden="false" customHeight="false" outlineLevel="0" collapsed="false">
      <c r="A249" s="2"/>
      <c r="B249" s="2"/>
      <c r="C249" s="2"/>
      <c r="D249" s="2"/>
    </row>
    <row r="250" customFormat="false" ht="15" hidden="false" customHeight="false" outlineLevel="0" collapsed="false">
      <c r="A250" s="2"/>
      <c r="B250" s="2"/>
      <c r="C250" s="2"/>
      <c r="D250" s="2"/>
    </row>
    <row r="251" customFormat="false" ht="15" hidden="false" customHeight="false" outlineLevel="0" collapsed="false">
      <c r="A251" s="2"/>
      <c r="B251" s="2"/>
      <c r="C251" s="2"/>
      <c r="D251" s="2"/>
    </row>
    <row r="252" customFormat="false" ht="15" hidden="false" customHeight="false" outlineLevel="0" collapsed="false">
      <c r="A252" s="2"/>
      <c r="B252" s="2"/>
      <c r="C252" s="2"/>
      <c r="D252" s="2"/>
    </row>
    <row r="253" customFormat="false" ht="15" hidden="false" customHeight="false" outlineLevel="0" collapsed="false">
      <c r="A253" s="2"/>
      <c r="B253" s="2"/>
      <c r="C253" s="2"/>
      <c r="D253" s="2"/>
    </row>
    <row r="254" customFormat="false" ht="15" hidden="false" customHeight="false" outlineLevel="0" collapsed="false">
      <c r="A254" s="2"/>
      <c r="B254" s="2"/>
      <c r="C254" s="2"/>
      <c r="D254" s="2"/>
    </row>
    <row r="255" customFormat="false" ht="15" hidden="false" customHeight="false" outlineLevel="0" collapsed="false">
      <c r="A255" s="2"/>
      <c r="B255" s="2"/>
      <c r="C255" s="2"/>
      <c r="D255" s="2"/>
    </row>
    <row r="256" customFormat="false" ht="15" hidden="false" customHeight="false" outlineLevel="0" collapsed="false">
      <c r="A256" s="2"/>
      <c r="B256" s="2"/>
      <c r="C256" s="2"/>
      <c r="D256" s="2"/>
    </row>
    <row r="257" customFormat="false" ht="15" hidden="false" customHeight="false" outlineLevel="0" collapsed="false">
      <c r="A257" s="2"/>
      <c r="B257" s="2"/>
      <c r="C257" s="2"/>
      <c r="D257" s="2"/>
    </row>
    <row r="258" customFormat="false" ht="15" hidden="false" customHeight="false" outlineLevel="0" collapsed="false">
      <c r="A258" s="2"/>
      <c r="B258" s="2"/>
      <c r="C258" s="2"/>
      <c r="D258" s="2"/>
    </row>
    <row r="259" customFormat="false" ht="15" hidden="false" customHeight="false" outlineLevel="0" collapsed="false">
      <c r="A259" s="2"/>
      <c r="B259" s="2"/>
      <c r="C259" s="2"/>
      <c r="D259" s="2"/>
    </row>
    <row r="260" customFormat="false" ht="15" hidden="false" customHeight="false" outlineLevel="0" collapsed="false">
      <c r="A260" s="2"/>
      <c r="B260" s="2"/>
      <c r="C260" s="2"/>
      <c r="D260" s="2"/>
    </row>
    <row r="261" customFormat="false" ht="15" hidden="false" customHeight="false" outlineLevel="0" collapsed="false">
      <c r="A261" s="2"/>
      <c r="B261" s="2"/>
      <c r="C261" s="2"/>
      <c r="D261" s="2"/>
    </row>
    <row r="262" customFormat="false" ht="15" hidden="false" customHeight="false" outlineLevel="0" collapsed="false">
      <c r="A262" s="2"/>
      <c r="B262" s="2"/>
      <c r="C262" s="2"/>
      <c r="D262" s="2"/>
    </row>
    <row r="263" customFormat="false" ht="15" hidden="false" customHeight="false" outlineLevel="0" collapsed="false">
      <c r="A263" s="2"/>
      <c r="B263" s="2"/>
      <c r="C263" s="2"/>
      <c r="D263" s="2"/>
    </row>
    <row r="264" customFormat="false" ht="15" hidden="false" customHeight="false" outlineLevel="0" collapsed="false">
      <c r="A264" s="2"/>
      <c r="B264" s="2"/>
      <c r="C264" s="2"/>
      <c r="D264" s="2"/>
    </row>
    <row r="265" customFormat="false" ht="15" hidden="false" customHeight="false" outlineLevel="0" collapsed="false">
      <c r="A265" s="2"/>
      <c r="B265" s="2"/>
      <c r="C265" s="2"/>
      <c r="D265" s="2"/>
    </row>
    <row r="266" customFormat="false" ht="15" hidden="false" customHeight="false" outlineLevel="0" collapsed="false">
      <c r="A266" s="2"/>
      <c r="B266" s="2"/>
      <c r="C266" s="2"/>
      <c r="D266" s="2"/>
    </row>
    <row r="267" customFormat="false" ht="15" hidden="false" customHeight="false" outlineLevel="0" collapsed="false">
      <c r="A267" s="2"/>
      <c r="B267" s="2"/>
      <c r="C267" s="2"/>
      <c r="D267" s="2"/>
    </row>
    <row r="268" customFormat="false" ht="15" hidden="false" customHeight="false" outlineLevel="0" collapsed="false">
      <c r="A268" s="2"/>
      <c r="B268" s="2"/>
      <c r="C268" s="2"/>
      <c r="D268" s="2"/>
    </row>
    <row r="269" customFormat="false" ht="15" hidden="false" customHeight="false" outlineLevel="0" collapsed="false">
      <c r="A269" s="2"/>
      <c r="B269" s="2"/>
      <c r="C269" s="2"/>
      <c r="D269" s="2"/>
    </row>
    <row r="270" customFormat="false" ht="15" hidden="false" customHeight="false" outlineLevel="0" collapsed="false">
      <c r="A270" s="2"/>
      <c r="B270" s="2"/>
      <c r="C270" s="2"/>
      <c r="D270" s="2"/>
    </row>
    <row r="271" customFormat="false" ht="15" hidden="false" customHeight="false" outlineLevel="0" collapsed="false">
      <c r="A271" s="2"/>
      <c r="B271" s="2"/>
      <c r="C271" s="2"/>
      <c r="D271" s="2"/>
    </row>
    <row r="272" customFormat="false" ht="15" hidden="false" customHeight="false" outlineLevel="0" collapsed="false">
      <c r="A272" s="2"/>
      <c r="B272" s="2"/>
      <c r="C272" s="2"/>
      <c r="D272" s="2"/>
    </row>
    <row r="273" customFormat="false" ht="15" hidden="false" customHeight="false" outlineLevel="0" collapsed="false">
      <c r="A273" s="2"/>
      <c r="B273" s="2"/>
      <c r="C273" s="2"/>
      <c r="D273" s="2"/>
    </row>
    <row r="274" customFormat="false" ht="15" hidden="false" customHeight="false" outlineLevel="0" collapsed="false">
      <c r="A274" s="2"/>
      <c r="B274" s="2"/>
      <c r="C274" s="2"/>
      <c r="D274" s="2"/>
    </row>
    <row r="275" customFormat="false" ht="15" hidden="false" customHeight="false" outlineLevel="0" collapsed="false">
      <c r="A275" s="2"/>
      <c r="B275" s="2"/>
      <c r="C275" s="2"/>
      <c r="D275" s="2"/>
    </row>
    <row r="276" customFormat="false" ht="15" hidden="false" customHeight="false" outlineLevel="0" collapsed="false">
      <c r="A276" s="2"/>
      <c r="B276" s="2"/>
      <c r="C276" s="2"/>
      <c r="D276" s="2"/>
    </row>
    <row r="277" customFormat="false" ht="15" hidden="false" customHeight="false" outlineLevel="0" collapsed="false">
      <c r="A277" s="2"/>
      <c r="B277" s="2"/>
      <c r="C277" s="2"/>
      <c r="D277" s="2"/>
    </row>
    <row r="278" customFormat="false" ht="15" hidden="false" customHeight="false" outlineLevel="0" collapsed="false">
      <c r="A278" s="2"/>
      <c r="B278" s="2"/>
      <c r="C278" s="2"/>
      <c r="D278" s="2"/>
    </row>
    <row r="279" customFormat="false" ht="15" hidden="false" customHeight="false" outlineLevel="0" collapsed="false">
      <c r="A279" s="2"/>
      <c r="B279" s="2"/>
      <c r="C279" s="2"/>
      <c r="D279" s="2"/>
    </row>
    <row r="280" customFormat="false" ht="15" hidden="false" customHeight="false" outlineLevel="0" collapsed="false">
      <c r="A280" s="2"/>
      <c r="B280" s="2"/>
      <c r="C280" s="2"/>
      <c r="D280" s="2"/>
    </row>
    <row r="281" customFormat="false" ht="15" hidden="false" customHeight="false" outlineLevel="0" collapsed="false">
      <c r="A281" s="2"/>
      <c r="B281" s="2"/>
      <c r="C281" s="2"/>
      <c r="D281" s="2"/>
    </row>
    <row r="282" customFormat="false" ht="15" hidden="false" customHeight="false" outlineLevel="0" collapsed="false">
      <c r="A282" s="2"/>
      <c r="B282" s="2"/>
      <c r="C282" s="2"/>
      <c r="D282" s="2"/>
    </row>
    <row r="283" customFormat="false" ht="15" hidden="false" customHeight="false" outlineLevel="0" collapsed="false">
      <c r="A283" s="2"/>
      <c r="B283" s="2"/>
      <c r="C283" s="2"/>
      <c r="D283" s="2"/>
    </row>
    <row r="284" customFormat="false" ht="15" hidden="false" customHeight="false" outlineLevel="0" collapsed="false">
      <c r="A284" s="2"/>
      <c r="B284" s="2"/>
      <c r="C284" s="2"/>
      <c r="D284" s="2"/>
    </row>
    <row r="285" customFormat="false" ht="15" hidden="false" customHeight="false" outlineLevel="0" collapsed="false">
      <c r="A285" s="2"/>
      <c r="B285" s="2"/>
      <c r="C285" s="2"/>
      <c r="D285" s="2"/>
    </row>
    <row r="286" customFormat="false" ht="15" hidden="false" customHeight="false" outlineLevel="0" collapsed="false">
      <c r="A286" s="2"/>
      <c r="B286" s="2"/>
      <c r="C286" s="2"/>
      <c r="D286" s="2"/>
    </row>
    <row r="287" customFormat="false" ht="15" hidden="false" customHeight="false" outlineLevel="0" collapsed="false">
      <c r="A287" s="2"/>
      <c r="B287" s="2"/>
      <c r="C287" s="2"/>
      <c r="D287" s="2"/>
    </row>
    <row r="288" customFormat="false" ht="15" hidden="false" customHeight="false" outlineLevel="0" collapsed="false">
      <c r="A288" s="2"/>
      <c r="B288" s="2"/>
      <c r="C288" s="2"/>
      <c r="D288" s="2"/>
    </row>
    <row r="289" customFormat="false" ht="15" hidden="false" customHeight="false" outlineLevel="0" collapsed="false">
      <c r="A289" s="2"/>
      <c r="B289" s="2"/>
      <c r="C289" s="2"/>
      <c r="D289" s="2"/>
    </row>
    <row r="290" customFormat="false" ht="15" hidden="false" customHeight="false" outlineLevel="0" collapsed="false">
      <c r="A290" s="2"/>
      <c r="B290" s="2"/>
      <c r="C290" s="2"/>
      <c r="D290" s="2"/>
    </row>
    <row r="291" customFormat="false" ht="15" hidden="false" customHeight="false" outlineLevel="0" collapsed="false">
      <c r="A291" s="2"/>
      <c r="B291" s="2"/>
      <c r="C291" s="2"/>
      <c r="D291" s="2"/>
    </row>
    <row r="292" customFormat="false" ht="15" hidden="false" customHeight="false" outlineLevel="0" collapsed="false">
      <c r="A292" s="2"/>
      <c r="B292" s="2"/>
      <c r="C292" s="2"/>
      <c r="D292" s="2"/>
    </row>
    <row r="293" customFormat="false" ht="15" hidden="false" customHeight="false" outlineLevel="0" collapsed="false">
      <c r="A293" s="2"/>
      <c r="B293" s="2"/>
      <c r="C293" s="2"/>
      <c r="D293" s="2"/>
    </row>
    <row r="294" customFormat="false" ht="15" hidden="false" customHeight="false" outlineLevel="0" collapsed="false">
      <c r="A294" s="2"/>
      <c r="B294" s="2"/>
      <c r="C294" s="2"/>
      <c r="D294" s="2"/>
    </row>
    <row r="295" customFormat="false" ht="15" hidden="false" customHeight="false" outlineLevel="0" collapsed="false">
      <c r="A295" s="2"/>
      <c r="B295" s="2"/>
      <c r="C295" s="2"/>
      <c r="D295" s="2"/>
    </row>
    <row r="296" customFormat="false" ht="15" hidden="false" customHeight="false" outlineLevel="0" collapsed="false">
      <c r="A296" s="2"/>
      <c r="B296" s="2"/>
      <c r="C296" s="2"/>
      <c r="D296" s="2"/>
    </row>
    <row r="297" customFormat="false" ht="15" hidden="false" customHeight="false" outlineLevel="0" collapsed="false">
      <c r="A297" s="2"/>
      <c r="B297" s="2"/>
      <c r="C297" s="2"/>
      <c r="D297" s="2"/>
    </row>
    <row r="298" customFormat="false" ht="15" hidden="false" customHeight="false" outlineLevel="0" collapsed="false">
      <c r="A298" s="2"/>
      <c r="B298" s="2"/>
      <c r="C298" s="2"/>
      <c r="D298" s="2"/>
    </row>
    <row r="299" customFormat="false" ht="15" hidden="false" customHeight="false" outlineLevel="0" collapsed="false">
      <c r="A299" s="2"/>
      <c r="B299" s="2"/>
      <c r="C299" s="2"/>
      <c r="D299" s="2"/>
    </row>
  </sheetData>
  <mergeCells count="16">
    <mergeCell ref="A5:D5"/>
    <mergeCell ref="A16:D16"/>
    <mergeCell ref="B27:D27"/>
    <mergeCell ref="A29:D29"/>
    <mergeCell ref="A30:D30"/>
    <mergeCell ref="A31:D31"/>
    <mergeCell ref="A32:D32"/>
    <mergeCell ref="A33:D33"/>
    <mergeCell ref="A34:D34"/>
    <mergeCell ref="A35:D35"/>
    <mergeCell ref="A37:D37"/>
    <mergeCell ref="A38:D38"/>
    <mergeCell ref="A39:D39"/>
    <mergeCell ref="A40:D40"/>
    <mergeCell ref="A41:D41"/>
    <mergeCell ref="A42:D42"/>
  </mergeCells>
  <dataValidations count="1">
    <dataValidation allowBlank="true" errorStyle="stop" operator="between" showDropDown="false" showErrorMessage="false" showInputMessage="false" sqref="C18:C25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28"/>
  </cols>
  <sheetData>
    <row r="1" customFormat="false" ht="27.75" hidden="false" customHeight="true" outlineLevel="0" collapsed="false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55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56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30" hidden="false" customHeight="true" outlineLevel="0" collapsed="false">
      <c r="A5" s="12" t="s">
        <v>57</v>
      </c>
      <c r="B5" s="12" t="s">
        <v>58</v>
      </c>
      <c r="C5" s="12" t="s">
        <v>8</v>
      </c>
      <c r="D5" s="12" t="s">
        <v>10</v>
      </c>
      <c r="E5" s="12" t="s">
        <v>59</v>
      </c>
      <c r="F5" s="12" t="s">
        <v>60</v>
      </c>
      <c r="G5" s="12" t="s">
        <v>61</v>
      </c>
      <c r="H5" s="12" t="s">
        <v>62</v>
      </c>
      <c r="I5" s="12" t="s">
        <v>63</v>
      </c>
      <c r="J5" s="12" t="s">
        <v>21</v>
      </c>
    </row>
    <row r="6" customFormat="false" ht="15" hidden="false" customHeight="false" outlineLevel="0" collapsed="false">
      <c r="A6" s="8" t="n">
        <v>46308</v>
      </c>
      <c r="B6" s="7" t="s">
        <v>64</v>
      </c>
      <c r="C6" s="7" t="s">
        <v>65</v>
      </c>
      <c r="D6" s="8" t="n">
        <v>46346</v>
      </c>
      <c r="E6" s="14" t="n">
        <v>60</v>
      </c>
      <c r="F6" s="14" t="n">
        <v>22</v>
      </c>
      <c r="G6" s="6" t="str">
        <f aca="false">IF(F6="","",IF(F6&gt;=18,"Pursue",IF(F6&gt;=12,"Qualify","Refer out")))</f>
        <v>Pursue</v>
      </c>
      <c r="H6" s="20" t="n">
        <v>0.5</v>
      </c>
      <c r="I6" s="7" t="s">
        <v>66</v>
      </c>
      <c r="J6" s="7" t="s">
        <v>67</v>
      </c>
    </row>
    <row r="7" customFormat="false" ht="15" hidden="false" customHeight="false" outlineLevel="0" collapsed="false">
      <c r="A7" s="8"/>
      <c r="B7" s="7"/>
      <c r="C7" s="7"/>
      <c r="D7" s="8"/>
      <c r="E7" s="14"/>
      <c r="F7" s="14"/>
      <c r="G7" s="6" t="str">
        <f aca="false">IF(F7="","",IF(F7&gt;=18,"Pursue",IF(F7&gt;=12,"Qualify","Refer out")))</f>
        <v/>
      </c>
      <c r="H7" s="20"/>
      <c r="I7" s="7"/>
      <c r="J7" s="7"/>
    </row>
    <row r="8" customFormat="false" ht="15" hidden="false" customHeight="false" outlineLevel="0" collapsed="false">
      <c r="A8" s="8"/>
      <c r="B8" s="7"/>
      <c r="C8" s="7"/>
      <c r="D8" s="8"/>
      <c r="E8" s="14"/>
      <c r="F8" s="14"/>
      <c r="G8" s="6" t="str">
        <f aca="false">IF(F8="","",IF(F8&gt;=18,"Pursue",IF(F8&gt;=12,"Qualify","Refer out")))</f>
        <v/>
      </c>
      <c r="H8" s="20"/>
      <c r="I8" s="7"/>
      <c r="J8" s="7"/>
    </row>
    <row r="9" customFormat="false" ht="15" hidden="false" customHeight="false" outlineLevel="0" collapsed="false">
      <c r="A9" s="8"/>
      <c r="B9" s="7"/>
      <c r="C9" s="7"/>
      <c r="D9" s="8"/>
      <c r="E9" s="14"/>
      <c r="F9" s="14"/>
      <c r="G9" s="6" t="str">
        <f aca="false">IF(F9="","",IF(F9&gt;=18,"Pursue",IF(F9&gt;=12,"Qualify","Refer out")))</f>
        <v/>
      </c>
      <c r="H9" s="20"/>
      <c r="I9" s="7"/>
      <c r="J9" s="7"/>
    </row>
    <row r="10" customFormat="false" ht="15" hidden="false" customHeight="false" outlineLevel="0" collapsed="false">
      <c r="A10" s="8"/>
      <c r="B10" s="7"/>
      <c r="C10" s="7"/>
      <c r="D10" s="8"/>
      <c r="E10" s="14"/>
      <c r="F10" s="14"/>
      <c r="G10" s="6" t="str">
        <f aca="false">IF(F10="","",IF(F10&gt;=18,"Pursue",IF(F10&gt;=12,"Qualify","Refer out")))</f>
        <v/>
      </c>
      <c r="H10" s="20"/>
      <c r="I10" s="7"/>
      <c r="J10" s="7"/>
    </row>
    <row r="11" customFormat="false" ht="15" hidden="false" customHeight="false" outlineLevel="0" collapsed="false">
      <c r="A11" s="8"/>
      <c r="B11" s="7"/>
      <c r="C11" s="7"/>
      <c r="D11" s="8"/>
      <c r="E11" s="14"/>
      <c r="F11" s="14"/>
      <c r="G11" s="6" t="str">
        <f aca="false">IF(F11="","",IF(F11&gt;=18,"Pursue",IF(F11&gt;=12,"Qualify","Refer out")))</f>
        <v/>
      </c>
      <c r="H11" s="20"/>
      <c r="I11" s="7"/>
      <c r="J11" s="7"/>
    </row>
    <row r="12" customFormat="false" ht="15" hidden="false" customHeight="false" outlineLevel="0" collapsed="false">
      <c r="A12" s="8"/>
      <c r="B12" s="7"/>
      <c r="C12" s="7"/>
      <c r="D12" s="8"/>
      <c r="E12" s="14"/>
      <c r="F12" s="14"/>
      <c r="G12" s="6" t="str">
        <f aca="false">IF(F12="","",IF(F12&gt;=18,"Pursue",IF(F12&gt;=12,"Qualify","Refer out")))</f>
        <v/>
      </c>
      <c r="H12" s="20"/>
      <c r="I12" s="7"/>
      <c r="J12" s="7"/>
    </row>
    <row r="13" customFormat="false" ht="15" hidden="false" customHeight="false" outlineLevel="0" collapsed="false">
      <c r="A13" s="8"/>
      <c r="B13" s="7"/>
      <c r="C13" s="7"/>
      <c r="D13" s="8"/>
      <c r="E13" s="14"/>
      <c r="F13" s="14"/>
      <c r="G13" s="6" t="str">
        <f aca="false">IF(F13="","",IF(F13&gt;=18,"Pursue",IF(F13&gt;=12,"Qualify","Refer out")))</f>
        <v/>
      </c>
      <c r="H13" s="20"/>
      <c r="I13" s="7"/>
      <c r="J13" s="7"/>
    </row>
    <row r="14" customFormat="false" ht="15" hidden="false" customHeight="false" outlineLevel="0" collapsed="false">
      <c r="A14" s="8"/>
      <c r="B14" s="7"/>
      <c r="C14" s="7"/>
      <c r="D14" s="8"/>
      <c r="E14" s="14"/>
      <c r="F14" s="14"/>
      <c r="G14" s="6" t="str">
        <f aca="false">IF(F14="","",IF(F14&gt;=18,"Pursue",IF(F14&gt;=12,"Qualify","Refer out")))</f>
        <v/>
      </c>
      <c r="H14" s="20"/>
      <c r="I14" s="7"/>
      <c r="J14" s="7"/>
    </row>
    <row r="15" customFormat="false" ht="15" hidden="false" customHeight="false" outlineLevel="0" collapsed="false">
      <c r="A15" s="8"/>
      <c r="B15" s="7"/>
      <c r="C15" s="7"/>
      <c r="D15" s="8"/>
      <c r="E15" s="14"/>
      <c r="F15" s="14"/>
      <c r="G15" s="6" t="str">
        <f aca="false">IF(F15="","",IF(F15&gt;=18,"Pursue",IF(F15&gt;=12,"Qualify","Refer out")))</f>
        <v/>
      </c>
      <c r="H15" s="20"/>
      <c r="I15" s="7"/>
      <c r="J15" s="7"/>
    </row>
    <row r="16" customFormat="false" ht="15" hidden="false" customHeight="false" outlineLevel="0" collapsed="false">
      <c r="A16" s="8"/>
      <c r="B16" s="7"/>
      <c r="C16" s="7"/>
      <c r="D16" s="8"/>
      <c r="E16" s="14"/>
      <c r="F16" s="14"/>
      <c r="G16" s="6" t="str">
        <f aca="false">IF(F16="","",IF(F16&gt;=18,"Pursue",IF(F16&gt;=12,"Qualify","Refer out")))</f>
        <v/>
      </c>
      <c r="H16" s="20"/>
      <c r="I16" s="7"/>
      <c r="J16" s="7"/>
    </row>
    <row r="17" customFormat="false" ht="15" hidden="false" customHeight="false" outlineLevel="0" collapsed="false">
      <c r="A17" s="8"/>
      <c r="B17" s="7"/>
      <c r="C17" s="7"/>
      <c r="D17" s="8"/>
      <c r="E17" s="14"/>
      <c r="F17" s="14"/>
      <c r="G17" s="6" t="str">
        <f aca="false">IF(F17="","",IF(F17&gt;=18,"Pursue",IF(F17&gt;=12,"Qualify","Refer out")))</f>
        <v/>
      </c>
      <c r="H17" s="20"/>
      <c r="I17" s="7"/>
      <c r="J17" s="7"/>
    </row>
    <row r="18" customFormat="false" ht="15" hidden="false" customHeight="false" outlineLevel="0" collapsed="false">
      <c r="A18" s="8"/>
      <c r="B18" s="7"/>
      <c r="C18" s="7"/>
      <c r="D18" s="8"/>
      <c r="E18" s="14"/>
      <c r="F18" s="14"/>
      <c r="G18" s="6" t="str">
        <f aca="false">IF(F18="","",IF(F18&gt;=18,"Pursue",IF(F18&gt;=12,"Qualify","Refer out")))</f>
        <v/>
      </c>
      <c r="H18" s="20"/>
      <c r="I18" s="7"/>
      <c r="J18" s="7"/>
    </row>
    <row r="19" customFormat="false" ht="15" hidden="false" customHeight="false" outlineLevel="0" collapsed="false">
      <c r="A19" s="8"/>
      <c r="B19" s="7"/>
      <c r="C19" s="7"/>
      <c r="D19" s="8"/>
      <c r="E19" s="14"/>
      <c r="F19" s="14"/>
      <c r="G19" s="6" t="str">
        <f aca="false">IF(F19="","",IF(F19&gt;=18,"Pursue",IF(F19&gt;=12,"Qualify","Refer out")))</f>
        <v/>
      </c>
      <c r="H19" s="20"/>
      <c r="I19" s="7"/>
      <c r="J19" s="7"/>
    </row>
    <row r="20" customFormat="false" ht="15" hidden="false" customHeight="false" outlineLevel="0" collapsed="false">
      <c r="A20" s="8"/>
      <c r="B20" s="7"/>
      <c r="C20" s="7"/>
      <c r="D20" s="8"/>
      <c r="E20" s="14"/>
      <c r="F20" s="14"/>
      <c r="G20" s="6" t="str">
        <f aca="false">IF(F20="","",IF(F20&gt;=18,"Pursue",IF(F20&gt;=12,"Qualify","Refer out")))</f>
        <v/>
      </c>
      <c r="H20" s="20"/>
      <c r="I20" s="7"/>
      <c r="J20" s="7"/>
    </row>
    <row r="21" customFormat="false" ht="15" hidden="false" customHeight="false" outlineLevel="0" collapsed="false">
      <c r="A21" s="8"/>
      <c r="B21" s="7"/>
      <c r="C21" s="7"/>
      <c r="D21" s="8"/>
      <c r="E21" s="14"/>
      <c r="F21" s="14"/>
      <c r="G21" s="6" t="str">
        <f aca="false">IF(F21="","",IF(F21&gt;=18,"Pursue",IF(F21&gt;=12,"Qualify","Refer out")))</f>
        <v/>
      </c>
      <c r="H21" s="20"/>
      <c r="I21" s="7"/>
      <c r="J21" s="7"/>
    </row>
    <row r="22" customFormat="false" ht="15" hidden="false" customHeight="false" outlineLevel="0" collapsed="false">
      <c r="A22" s="8"/>
      <c r="B22" s="7"/>
      <c r="C22" s="7"/>
      <c r="D22" s="8"/>
      <c r="E22" s="14"/>
      <c r="F22" s="14"/>
      <c r="G22" s="6" t="str">
        <f aca="false">IF(F22="","",IF(F22&gt;=18,"Pursue",IF(F22&gt;=12,"Qualify","Refer out")))</f>
        <v/>
      </c>
      <c r="H22" s="20"/>
      <c r="I22" s="7"/>
      <c r="J22" s="7"/>
    </row>
    <row r="23" customFormat="false" ht="15" hidden="false" customHeight="false" outlineLevel="0" collapsed="false">
      <c r="A23" s="8"/>
      <c r="B23" s="7"/>
      <c r="C23" s="7"/>
      <c r="D23" s="8"/>
      <c r="E23" s="14"/>
      <c r="F23" s="14"/>
      <c r="G23" s="6" t="str">
        <f aca="false">IF(F23="","",IF(F23&gt;=18,"Pursue",IF(F23&gt;=12,"Qualify","Refer out")))</f>
        <v/>
      </c>
      <c r="H23" s="20"/>
      <c r="I23" s="7"/>
      <c r="J23" s="7"/>
    </row>
    <row r="24" customFormat="false" ht="15" hidden="false" customHeight="false" outlineLevel="0" collapsed="false">
      <c r="A24" s="8"/>
      <c r="B24" s="7"/>
      <c r="C24" s="7"/>
      <c r="D24" s="8"/>
      <c r="E24" s="14"/>
      <c r="F24" s="14"/>
      <c r="G24" s="6" t="str">
        <f aca="false">IF(F24="","",IF(F24&gt;=18,"Pursue",IF(F24&gt;=12,"Qualify","Refer out")))</f>
        <v/>
      </c>
      <c r="H24" s="20"/>
      <c r="I24" s="7"/>
      <c r="J24" s="7"/>
    </row>
    <row r="25" customFormat="false" ht="15" hidden="false" customHeight="false" outlineLevel="0" collapsed="false">
      <c r="A25" s="8"/>
      <c r="B25" s="7"/>
      <c r="C25" s="7"/>
      <c r="D25" s="8"/>
      <c r="E25" s="14"/>
      <c r="F25" s="14"/>
      <c r="G25" s="6" t="str">
        <f aca="false">IF(F25="","",IF(F25&gt;=18,"Pursue",IF(F25&gt;=12,"Qualify","Refer out")))</f>
        <v/>
      </c>
      <c r="H25" s="20"/>
      <c r="I25" s="7"/>
      <c r="J25" s="7"/>
    </row>
    <row r="26" customFormat="false" ht="15" hidden="false" customHeight="false" outlineLevel="0" collapsed="false">
      <c r="A26" s="8"/>
      <c r="B26" s="7"/>
      <c r="C26" s="7"/>
      <c r="D26" s="8"/>
      <c r="E26" s="14"/>
      <c r="F26" s="14"/>
      <c r="G26" s="6" t="str">
        <f aca="false">IF(F26="","",IF(F26&gt;=18,"Pursue",IF(F26&gt;=12,"Qualify","Refer out")))</f>
        <v/>
      </c>
      <c r="H26" s="20"/>
      <c r="I26" s="7"/>
      <c r="J26" s="7"/>
    </row>
    <row r="27" customFormat="false" ht="15" hidden="false" customHeight="false" outlineLevel="0" collapsed="false">
      <c r="A27" s="8"/>
      <c r="B27" s="7"/>
      <c r="C27" s="7"/>
      <c r="D27" s="8"/>
      <c r="E27" s="14"/>
      <c r="F27" s="14"/>
      <c r="G27" s="6" t="str">
        <f aca="false">IF(F27="","",IF(F27&gt;=18,"Pursue",IF(F27&gt;=12,"Qualify","Refer out")))</f>
        <v/>
      </c>
      <c r="H27" s="20"/>
      <c r="I27" s="7"/>
      <c r="J27" s="7"/>
    </row>
    <row r="28" customFormat="false" ht="15" hidden="false" customHeight="false" outlineLevel="0" collapsed="false">
      <c r="A28" s="8"/>
      <c r="B28" s="7"/>
      <c r="C28" s="7"/>
      <c r="D28" s="8"/>
      <c r="E28" s="14"/>
      <c r="F28" s="14"/>
      <c r="G28" s="6" t="str">
        <f aca="false">IF(F28="","",IF(F28&gt;=18,"Pursue",IF(F28&gt;=12,"Qualify","Refer out")))</f>
        <v/>
      </c>
      <c r="H28" s="20"/>
      <c r="I28" s="7"/>
      <c r="J28" s="7"/>
    </row>
    <row r="29" customFormat="false" ht="15" hidden="false" customHeight="false" outlineLevel="0" collapsed="false">
      <c r="A29" s="8"/>
      <c r="B29" s="7"/>
      <c r="C29" s="7"/>
      <c r="D29" s="8"/>
      <c r="E29" s="14"/>
      <c r="F29" s="14"/>
      <c r="G29" s="6" t="str">
        <f aca="false">IF(F29="","",IF(F29&gt;=18,"Pursue",IF(F29&gt;=12,"Qualify","Refer out")))</f>
        <v/>
      </c>
      <c r="H29" s="20"/>
      <c r="I29" s="7"/>
      <c r="J29" s="7"/>
    </row>
    <row r="30" customFormat="false" ht="15" hidden="false" customHeight="false" outlineLevel="0" collapsed="false">
      <c r="A30" s="8"/>
      <c r="B30" s="7"/>
      <c r="C30" s="7"/>
      <c r="D30" s="8"/>
      <c r="E30" s="14"/>
      <c r="F30" s="14"/>
      <c r="G30" s="6" t="str">
        <f aca="false">IF(F30="","",IF(F30&gt;=18,"Pursue",IF(F30&gt;=12,"Qualify","Refer out")))</f>
        <v/>
      </c>
      <c r="H30" s="20"/>
      <c r="I30" s="7"/>
      <c r="J30" s="7"/>
    </row>
    <row r="31" customFormat="false" ht="15" hidden="false" customHeight="false" outlineLevel="0" collapsed="false">
      <c r="A31" s="8"/>
      <c r="B31" s="7"/>
      <c r="C31" s="7"/>
      <c r="D31" s="8"/>
      <c r="E31" s="14"/>
      <c r="F31" s="14"/>
      <c r="G31" s="6" t="str">
        <f aca="false">IF(F31="","",IF(F31&gt;=18,"Pursue",IF(F31&gt;=12,"Qualify","Refer out")))</f>
        <v/>
      </c>
      <c r="H31" s="20"/>
      <c r="I31" s="7"/>
      <c r="J31" s="7"/>
    </row>
    <row r="32" customFormat="false" ht="15" hidden="false" customHeight="false" outlineLevel="0" collapsed="false">
      <c r="A32" s="8"/>
      <c r="B32" s="7"/>
      <c r="C32" s="7"/>
      <c r="D32" s="8"/>
      <c r="E32" s="14"/>
      <c r="F32" s="14"/>
      <c r="G32" s="6" t="str">
        <f aca="false">IF(F32="","",IF(F32&gt;=18,"Pursue",IF(F32&gt;=12,"Qualify","Refer out")))</f>
        <v/>
      </c>
      <c r="H32" s="20"/>
      <c r="I32" s="7"/>
      <c r="J32" s="7"/>
    </row>
    <row r="33" customFormat="false" ht="15" hidden="false" customHeight="false" outlineLevel="0" collapsed="false">
      <c r="A33" s="8"/>
      <c r="B33" s="7"/>
      <c r="C33" s="7"/>
      <c r="D33" s="8"/>
      <c r="E33" s="14"/>
      <c r="F33" s="14"/>
      <c r="G33" s="6" t="str">
        <f aca="false">IF(F33="","",IF(F33&gt;=18,"Pursue",IF(F33&gt;=12,"Qualify","Refer out")))</f>
        <v/>
      </c>
      <c r="H33" s="20"/>
      <c r="I33" s="7"/>
      <c r="J33" s="7"/>
    </row>
    <row r="34" customFormat="false" ht="15" hidden="false" customHeight="false" outlineLevel="0" collapsed="false">
      <c r="A34" s="8"/>
      <c r="B34" s="7"/>
      <c r="C34" s="7"/>
      <c r="D34" s="8"/>
      <c r="E34" s="14"/>
      <c r="F34" s="14"/>
      <c r="G34" s="6" t="str">
        <f aca="false">IF(F34="","",IF(F34&gt;=18,"Pursue",IF(F34&gt;=12,"Qualify","Refer out")))</f>
        <v/>
      </c>
      <c r="H34" s="20"/>
      <c r="I34" s="7"/>
      <c r="J34" s="7"/>
    </row>
    <row r="35" customFormat="false" ht="15" hidden="false" customHeight="false" outlineLevel="0" collapsed="false">
      <c r="A35" s="8"/>
      <c r="B35" s="7"/>
      <c r="C35" s="7"/>
      <c r="D35" s="8"/>
      <c r="E35" s="14"/>
      <c r="F35" s="14"/>
      <c r="G35" s="6" t="str">
        <f aca="false">IF(F35="","",IF(F35&gt;=18,"Pursue",IF(F35&gt;=12,"Qualify","Refer out")))</f>
        <v/>
      </c>
      <c r="H35" s="20"/>
      <c r="I35" s="7"/>
      <c r="J35" s="7"/>
    </row>
    <row r="36" customFormat="false" ht="15" hidden="false" customHeight="false" outlineLevel="0" collapsed="false">
      <c r="A36" s="8"/>
      <c r="B36" s="7"/>
      <c r="C36" s="7"/>
      <c r="D36" s="8"/>
      <c r="E36" s="14"/>
      <c r="F36" s="14"/>
      <c r="G36" s="6" t="str">
        <f aca="false">IF(F36="","",IF(F36&gt;=18,"Pursue",IF(F36&gt;=12,"Qualify","Refer out")))</f>
        <v/>
      </c>
      <c r="H36" s="20"/>
      <c r="I36" s="7"/>
      <c r="J36" s="7"/>
    </row>
    <row r="37" customFormat="false" ht="15" hidden="false" customHeight="false" outlineLevel="0" collapsed="false">
      <c r="A37" s="8"/>
      <c r="B37" s="7"/>
      <c r="C37" s="7"/>
      <c r="D37" s="8"/>
      <c r="E37" s="14"/>
      <c r="F37" s="14"/>
      <c r="G37" s="6" t="str">
        <f aca="false">IF(F37="","",IF(F37&gt;=18,"Pursue",IF(F37&gt;=12,"Qualify","Refer out")))</f>
        <v/>
      </c>
      <c r="H37" s="20"/>
      <c r="I37" s="7"/>
      <c r="J37" s="7"/>
    </row>
    <row r="38" customFormat="false" ht="15" hidden="false" customHeight="false" outlineLevel="0" collapsed="false">
      <c r="A38" s="8"/>
      <c r="B38" s="7"/>
      <c r="C38" s="7"/>
      <c r="D38" s="8"/>
      <c r="E38" s="14"/>
      <c r="F38" s="14"/>
      <c r="G38" s="6" t="str">
        <f aca="false">IF(F38="","",IF(F38&gt;=18,"Pursue",IF(F38&gt;=12,"Qualify","Refer out")))</f>
        <v/>
      </c>
      <c r="H38" s="20"/>
      <c r="I38" s="7"/>
      <c r="J38" s="7"/>
    </row>
    <row r="39" customFormat="false" ht="15" hidden="false" customHeight="false" outlineLevel="0" collapsed="false">
      <c r="A39" s="8"/>
      <c r="B39" s="7"/>
      <c r="C39" s="7"/>
      <c r="D39" s="8"/>
      <c r="E39" s="14"/>
      <c r="F39" s="14"/>
      <c r="G39" s="6" t="str">
        <f aca="false">IF(F39="","",IF(F39&gt;=18,"Pursue",IF(F39&gt;=12,"Qualify","Refer out")))</f>
        <v/>
      </c>
      <c r="H39" s="20"/>
      <c r="I39" s="7"/>
      <c r="J39" s="7"/>
    </row>
    <row r="40" customFormat="false" ht="15" hidden="false" customHeight="false" outlineLevel="0" collapsed="false">
      <c r="A40" s="8"/>
      <c r="B40" s="7"/>
      <c r="C40" s="7"/>
      <c r="D40" s="8"/>
      <c r="E40" s="14"/>
      <c r="F40" s="14"/>
      <c r="G40" s="6" t="str">
        <f aca="false">IF(F40="","",IF(F40&gt;=18,"Pursue",IF(F40&gt;=12,"Qualify","Refer out")))</f>
        <v/>
      </c>
      <c r="H40" s="20"/>
      <c r="I40" s="7"/>
      <c r="J40" s="7"/>
    </row>
    <row r="41" customFormat="false" ht="15" hidden="false" customHeight="false" outlineLevel="0" collapsed="false">
      <c r="A41" s="8"/>
      <c r="B41" s="7"/>
      <c r="C41" s="7"/>
      <c r="D41" s="8"/>
      <c r="E41" s="14"/>
      <c r="F41" s="14"/>
      <c r="G41" s="6" t="str">
        <f aca="false">IF(F41="","",IF(F41&gt;=18,"Pursue",IF(F41&gt;=12,"Qualify","Refer out")))</f>
        <v/>
      </c>
      <c r="H41" s="20"/>
      <c r="I41" s="7"/>
      <c r="J41" s="7"/>
    </row>
    <row r="42" customFormat="false" ht="15" hidden="false" customHeight="false" outlineLevel="0" collapsed="false">
      <c r="A42" s="8"/>
      <c r="B42" s="7"/>
      <c r="C42" s="7"/>
      <c r="D42" s="8"/>
      <c r="E42" s="14"/>
      <c r="F42" s="14"/>
      <c r="G42" s="6" t="str">
        <f aca="false">IF(F42="","",IF(F42&gt;=18,"Pursue",IF(F42&gt;=12,"Qualify","Refer out")))</f>
        <v/>
      </c>
      <c r="H42" s="20"/>
      <c r="I42" s="7"/>
      <c r="J42" s="7"/>
    </row>
    <row r="43" customFormat="false" ht="15" hidden="false" customHeight="false" outlineLevel="0" collapsed="false">
      <c r="A43" s="8"/>
      <c r="B43" s="7"/>
      <c r="C43" s="7"/>
      <c r="D43" s="8"/>
      <c r="E43" s="14"/>
      <c r="F43" s="14"/>
      <c r="G43" s="6" t="str">
        <f aca="false">IF(F43="","",IF(F43&gt;=18,"Pursue",IF(F43&gt;=12,"Qualify","Refer out")))</f>
        <v/>
      </c>
      <c r="H43" s="20"/>
      <c r="I43" s="7"/>
      <c r="J43" s="7"/>
    </row>
    <row r="44" customFormat="false" ht="15" hidden="false" customHeight="false" outlineLevel="0" collapsed="false">
      <c r="A44" s="8"/>
      <c r="B44" s="7"/>
      <c r="C44" s="7"/>
      <c r="D44" s="8"/>
      <c r="E44" s="14"/>
      <c r="F44" s="14"/>
      <c r="G44" s="6" t="str">
        <f aca="false">IF(F44="","",IF(F44&gt;=18,"Pursue",IF(F44&gt;=12,"Qualify","Refer out")))</f>
        <v/>
      </c>
      <c r="H44" s="20"/>
      <c r="I44" s="7"/>
      <c r="J44" s="7"/>
    </row>
    <row r="45" customFormat="false" ht="15" hidden="false" customHeight="false" outlineLevel="0" collapsed="false">
      <c r="A45" s="8"/>
      <c r="B45" s="7"/>
      <c r="C45" s="7"/>
      <c r="D45" s="8"/>
      <c r="E45" s="14"/>
      <c r="F45" s="14"/>
      <c r="G45" s="6" t="str">
        <f aca="false">IF(F45="","",IF(F45&gt;=18,"Pursue",IF(F45&gt;=12,"Qualify","Refer out")))</f>
        <v/>
      </c>
      <c r="H45" s="20"/>
      <c r="I45" s="7"/>
      <c r="J45" s="7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9.5" hidden="false" customHeight="true" outlineLevel="0" collapsed="false">
      <c r="A47" s="5" t="s">
        <v>68</v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22.35" hidden="false" customHeight="false" outlineLevel="0" collapsed="false">
      <c r="A48" s="6" t="s">
        <v>69</v>
      </c>
      <c r="B48" s="10" t="n">
        <f aca="false">COUNTA(B6:B45)</f>
        <v>1</v>
      </c>
      <c r="C48" s="2"/>
      <c r="D48" s="2"/>
      <c r="E48" s="2"/>
      <c r="F48" s="2"/>
      <c r="G48" s="2"/>
      <c r="H48" s="2"/>
      <c r="I48" s="2"/>
      <c r="J48" s="2"/>
    </row>
    <row r="49" customFormat="false" ht="32.8" hidden="false" customHeight="false" outlineLevel="0" collapsed="false">
      <c r="A49" s="6" t="s">
        <v>70</v>
      </c>
      <c r="B49" s="21" t="n">
        <f aca="false">IFERROR(AVERAGE(H6:H45),"")</f>
        <v>0.5</v>
      </c>
      <c r="C49" s="22" t="s">
        <v>71</v>
      </c>
      <c r="D49" s="2"/>
      <c r="E49" s="2"/>
      <c r="F49" s="2"/>
      <c r="G49" s="2"/>
      <c r="H49" s="2"/>
      <c r="I49" s="2"/>
      <c r="J49" s="2"/>
    </row>
    <row r="50" customFormat="false" ht="15" hidden="false" customHeight="false" outlineLevel="0" collapsed="false">
      <c r="A50" s="6" t="s">
        <v>72</v>
      </c>
      <c r="B50" s="10" t="n">
        <f aca="false">COUNTIF(I6:I45,"Booked")</f>
        <v>0</v>
      </c>
      <c r="C50" s="2"/>
      <c r="D50" s="2"/>
      <c r="E50" s="2"/>
      <c r="F50" s="2"/>
      <c r="G50" s="2"/>
      <c r="H50" s="2"/>
      <c r="I50" s="2"/>
      <c r="J50" s="2"/>
    </row>
    <row r="51" customFormat="false" ht="22.35" hidden="false" customHeight="false" outlineLevel="0" collapsed="false">
      <c r="A51" s="6" t="s">
        <v>73</v>
      </c>
      <c r="B51" s="23" t="n">
        <f aca="false">IF(B48&gt;0,B50/B48,"")</f>
        <v>0</v>
      </c>
      <c r="C51" s="2"/>
      <c r="D51" s="2"/>
      <c r="E51" s="2"/>
      <c r="F51" s="2"/>
      <c r="G51" s="2"/>
      <c r="H51" s="2"/>
      <c r="I51" s="2"/>
      <c r="J51" s="2"/>
    </row>
    <row r="52" customFormat="false" ht="32.8" hidden="false" customHeight="false" outlineLevel="0" collapsed="false">
      <c r="A52" s="6" t="s">
        <v>74</v>
      </c>
      <c r="B52" s="10" t="n">
        <f aca="false">COUNTIFS(G6:G45,"Pursue",I6:I45,"Booked")</f>
        <v>0</v>
      </c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19" t="s">
        <v>53</v>
      </c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</sheetData>
  <mergeCells count="1">
    <mergeCell ref="A47:J47"/>
  </mergeCells>
  <dataValidations count="1">
    <dataValidation allowBlank="true" errorStyle="stop" operator="between" showDropDown="false" showErrorMessage="false" showInputMessage="false" sqref="I6:I45" type="list">
      <formula1>"Waiting,Call set,Tasting set,Quoted,Booked,Lost,Referred 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2026-10-13T16:30:10Z</dcterms:created>
  <dc:creator>openpyxl</dc:creator>
  <dc:description/>
  <dc:language>en-US</dc:language>
  <cp:lastModifiedBy/>
  <dcterms:modified xsi:type="dcterms:W3CDTF">2026-10-13T16:30:10Z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