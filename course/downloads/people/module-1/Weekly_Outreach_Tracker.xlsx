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Rhythm" sheetId="1" state="visible" r:id="rId3"/>
    <sheet name="Outreach Log" sheetId="2" state="visible" r:id="rId4"/>
    <sheet name="Partner Pipeli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<sst xmlns="http://schemas.openxmlformats.org/spreadsheetml/2006/main" count="84" uniqueCount="79">
  <si>
    <t xml:space="preserve">WEEKLY OUTREACH RHYTHM</t>
  </si>
  <si>
    <t xml:space="preserve">The Catering People System | Module 1 | 45 minutes a day, five days a week. Consistency beats volume.</t>
  </si>
  <si>
    <t xml:space="preserve">Shaded cells = your inputs | Set your weekly targets once, then log daily counts. Copy this sheet each week.</t>
  </si>
  <si>
    <t xml:space="preserve">Week of</t>
  </si>
  <si>
    <t xml:space="preserve">DAILY ACTIVITY</t>
  </si>
  <si>
    <t xml:space="preserve">Activity</t>
  </si>
  <si>
    <t xml:space="preserve">Weekly target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</si>
  <si>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</si>
  <si>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</si>
  <si>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</si>
  <si>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</si>
  <si>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</si>
  <si>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Total</t>
  </si>
  <si>
    <t xml:space="preserve">% of target</t>
  </si>
  <si>
    <t xml:space="preserve">New contacts reached (email, call, drop-in)</t>
  </si>
  <si>
    <t xml:space="preserve">Follow-ups sent</t>
  </si>
  <si>
    <t xml:space="preserve">Venue / planner partner touches</t>
  </si>
  <si>
    <t xml:space="preserve">Drop-offs or tastings</t>
  </si>
  <si>
    <t xml:space="preserve">Meetings or calls booked</t>
  </si>
  <si>
    <t xml:space="preserve">Social posts aimed at buyers</t>
  </si>
  <si>
    <t xml:space="preserve">Red % = under 60% of target. Two red weeks in a row means the rhythm broke, not the market.</t>
  </si>
  <si>
    <t xml:space="preserve">THE DAILY 45</t>
  </si>
  <si>
    <t xml:space="preserve">Minutes 0-15</t>
  </si>
  <si>
    <t xml:space="preserve">Follow-ups first. Everyone who is due a touch today gets one before anything new.</t>
  </si>
  <si>
    <t xml:space="preserve">Minutes 15-35</t>
  </si>
  <si>
    <t xml:space="preserve">New contacts. Work the Top 20 list from your Ideal Buyer Map, top priority down.</t>
  </si>
  <si>
    <t xml:space="preserve">Minutes 35-45</t>
  </si>
  <si>
    <t xml:space="preserve">Log it. Update the Outreach Log and set the next date for every open conversation.</t>
  </si>
  <si>
    <t xml:space="preserve">Once a week</t>
  </si>
  <si>
    <t xml:space="preserve">One partner touch: a venue walkthrough, a planner coffee, or a thank-you for a referral.</t>
  </si>
  <si>
    <t xml:space="preserve">The Catering People System | Module 1: Lead Generation | trecoleman.com</t>
  </si>
  <si>
    <t xml:space="preserve">OUTREACH LOG</t>
  </si>
  <si>
    <t xml:space="preserve">The Catering People System | Module 1 | One row per touch. Never let a conversation end without a next date.</t>
  </si>
  <si>
    <t xml:space="preserve">Shaded cells = your inputs | Row 1 is a filled example.</t>
  </si>
  <si>
    <t xml:space="preserve">Date</t>
  </si>
  <si>
    <t xml:space="preserve">Account</t>
  </si>
  <si>
    <t xml:space="preserve">Contact</t>
  </si>
  <si>
    <t xml:space="preserve">Segment</t>
  </si>
  <si>
    <t xml:space="preserve">Channel</t>
  </si>
  <si>
    <t xml:space="preserve">Touch #</t>
  </si>
  <si>
    <t xml:space="preserve">Outcome</t>
  </si>
  <si>
    <t xml:space="preserve">Next step</t>
  </si>
  <si>
    <t xml:space="preserve">Next date</t>
  </si>
  <si>
    <t xml:space="preserve">Notes</t>
  </si>
  <si>
    <t xml:space="preserve">Riverside Family Dental</t>
  </si>
  <si>
    <t xml:space="preserve">Dana Price</t>
  </si>
  <si>
    <t xml:space="preserve">Medical &amp; dental offices</t>
  </si>
  <si>
    <t xml:space="preserve">Drop-in</t>
  </si>
  <si>
    <t xml:space="preserve">Replied</t>
  </si>
  <si>
    <t xml:space="preserve">Send lunch menu + pricing</t>
  </si>
  <si>
    <t xml:space="preserve">Staff of 14, lunch-and-learn monthly</t>
  </si>
  <si>
    <t xml:space="preserve">RESULTS</t>
  </si>
  <si>
    <t xml:space="preserve">Total touches</t>
  </si>
  <si>
    <t xml:space="preserve">Replies</t>
  </si>
  <si>
    <t xml:space="preserve">Meetings or tastings set</t>
  </si>
  <si>
    <t xml:space="preserve">Booked</t>
  </si>
  <si>
    <t xml:space="preserve">Reply rate</t>
  </si>
  <si>
    <t xml:space="preserve">Typical range for warm local outreach: 15-30% reply rate. Below 10%? Fix the message, not the volume.</t>
  </si>
  <si>
    <t xml:space="preserve">Touch-to-booking rate</t>
  </si>
  <si>
    <t xml:space="preserve">VENUE &amp; PLANNER PARTNER PIPELINE</t>
  </si>
  <si>
    <t xml:space="preserve">The Catering People System | Module 1 | Five active partners can fill a calendar. Track every one.</t>
  </si>
  <si>
    <t xml:space="preserve">Partner</t>
  </si>
  <si>
    <t xml:space="preserve">Type</t>
  </si>
  <si>
    <t xml:space="preserve">Status</t>
  </si>
  <si>
    <t xml:space="preserve">Referrals to you</t>
  </si>
  <si>
    <t xml:space="preserve">Booked from referrals</t>
  </si>
  <si>
    <t xml:space="preserve">Revenue from referrals ($)</t>
  </si>
  <si>
    <t xml:space="preserve">Last touch</t>
  </si>
  <si>
    <t xml:space="preserve">Oak Hollow Barn</t>
  </si>
  <si>
    <t xml:space="preserve">Venue (no kitchen)</t>
  </si>
  <si>
    <t xml:space="preserve">Marcus Hill</t>
  </si>
  <si>
    <t xml:space="preserve">Walkthrough done</t>
  </si>
  <si>
    <t xml:space="preserve">Wants vendor packet + tasting for his team</t>
  </si>
  <si>
    <t xml:space="preserve">TOTALS</t>
  </si>
  <si>
    <t xml:space="preserve">Active referrers</t>
  </si>
  <si>
    <t xml:space="preserve">Referrals received</t>
  </si>
  <si>
    <t xml:space="preserve">Referrals booked</t>
  </si>
  <si>
    <t xml:space="preserve">Referral close rate</t>
  </si>
  <si>
    <t xml:space="preserve">Revenue from partners ($)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</si>
</sst>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0"/>
    <numFmt numFmtId="167" formatCode="0%"/>
    <numFmt numFmtId="168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917"/>
      <name val="Arial"/>
      <family val="0"/>
      <charset val="1"/>
    </font>
    <font>
      <i val="true"/>
      <sz val="10"/>
      <color rgb="FF55524B"/>
      <name val="Arial"/>
      <family val="0"/>
      <charset val="1"/>
    </font>
    <font>
      <b val="true"/>
      <sz val="9"/>
      <color rgb="FFA3121D"/>
      <name val="Arial"/>
      <family val="0"/>
      <charset val="1"/>
    </font>
    <font>
      <b val="true"/>
      <sz val="9"/>
      <color rgb="FF1A1917"/>
      <name val="Arial"/>
      <family val="0"/>
      <charset val="1"/>
    </font>
    <font>
      <sz val="9"/>
      <color rgb="FF1A1917"/>
      <name val="Arial"/>
      <family val="0"/>
      <charset val="1"/>
    </font>
    <font>
      <b val="true"/>
      <sz val="10"/>
      <color rgb="FFFBFAF7"/>
      <name val="Arial"/>
      <family val="0"/>
      <charset val="1"/>
    </font>
    <font>
      <i val="true"/>
      <sz val="9"/>
      <color rgb="FF55524B"/>
      <name val="Arial"/>
      <family val="0"/>
      <charset val="1"/>
    </font>
    <font>
      <sz val="8"/>
      <color rgb="FF55524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BFAF7"/>
        <bgColor rgb="FFFFFFFF"/>
      </patternFill>
    </fill>
    <fill>
      <patternFill patternType="solid">
        <fgColor rgb="FFFFFFFF"/>
        <bgColor rgb="FFFBFAF7"/>
      </patternFill>
    </fill>
    <fill>
      <patternFill patternType="solid">
        <fgColor rgb="FFF4F1EA"/>
        <bgColor rgb="FFFBFAF7"/>
      </patternFill>
    </fill>
    <fill>
      <patternFill patternType="solid">
        <fgColor rgb="FF1A1917"/>
        <bgColor rgb="FF0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39A86"/>
      </left>
      <right style="thin">
        <color rgb="FFA39A86"/>
      </right>
      <top style="thin">
        <color rgb="FFA39A86"/>
      </top>
      <bottom style="thin">
        <color rgb="FFA39A86"/>
      </bottom>
      <diagonal/>
    </border>
    <border diagonalUp="false" diagonalDown="false">
      <left style="thin">
        <color rgb="FFA39A86"/>
      </left>
      <right style="thin">
        <color rgb="FFA39A86"/>
      </right>
      <top style="thin">
        <color rgb="FFA39A86"/>
      </top>
      <bottom style="medium">
        <color rgb="FF1A1917"/>
      </bottom>
      <diagonal/>
    </border>
    <border diagonalUp="false" diagonalDown="false">
      <left style="thin">
        <color rgb="FFA39A86"/>
      </left>
      <right/>
      <top style="thin">
        <color rgb="FFA39A86"/>
      </top>
      <bottom style="thin">
        <color rgb="FFA39A8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A3121D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3121D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AF7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39A86"/>
      <rgbColor rgb="FF003366"/>
      <rgbColor rgb="FF339966"/>
      <rgbColor rgb="FF003300"/>
      <rgbColor rgb="FF1A1917"/>
      <rgbColor rgb="FF993300"/>
      <rgbColor rgb="FF993366"/>
      <rgbColor rgb="FF333399"/>
      <rgbColor rgb="FF5552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7" min="3" style="0" width="9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27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5" t="s">
        <v>3</v>
      </c>
      <c r="B5" s="6"/>
      <c r="C5" s="2"/>
      <c r="D5" s="2"/>
      <c r="E5" s="2"/>
      <c r="F5" s="2"/>
      <c r="G5" s="2"/>
      <c r="H5" s="2"/>
      <c r="I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</row>
    <row r="7" customFormat="false" ht="19.5" hidden="false" customHeight="true" outlineLevel="0" collapsed="false">
      <c r="A7" s="7" t="s">
        <v>4</v>
      </c>
      <c r="B7" s="7"/>
      <c r="C7" s="7"/>
      <c r="D7" s="7"/>
      <c r="E7" s="7"/>
      <c r="F7" s="7"/>
      <c r="G7" s="7"/>
      <c r="H7" s="7"/>
      <c r="I7" s="7"/>
    </row>
    <row r="8" customFormat="false" ht="30" hidden="false" customHeight="true" outlineLevel="0" collapsed="false">
      <c r="A8" s="8" t="s">
        <v>5</v>
      </c>
      <c r="B8" s="8" t="s">
        <v>6</v>
      </c>
      <c r="C8" s="8" t="s">
        <v>7</v>
      </c>
      <c r="D8" s="8" t="s">
        <v>8</v>
      </c>
      <c r="E8" s="8" t="s">
        <v>9</v>
      </c>
      <c r="F8" s="8" t="s">
        <v>10</v>
      </c>
      <c r="G8" s="8" t="s">
        <v>11</v>
      </c>
      <c r="H8" s="8" t="s">
        <v>12</v>
      </c>
      <c r="I8" s="8" t="s">
        <v>13</v>
      </c>
    </row>
    <row r="9" customFormat="false" ht="22.35" hidden="false" customHeight="false" outlineLevel="0" collapsed="false">
      <c r="A9" s="5" t="s">
        <v>14</v>
      </c>
      <c r="B9" s="9" t="n">
        <v>10</v>
      </c>
      <c r="C9" s="9" t="n">
        <v>2</v>
      </c>
      <c r="D9" s="9"/>
      <c r="E9" s="9"/>
      <c r="F9" s="9"/>
      <c r="G9" s="9"/>
      <c r="H9" s="10" t="n">
        <f aca="false">SUM(C9:G9)</f>
        <v>2</v>
      </c>
      <c r="I9" s="11" t="n">
        <f aca="false">IF(B9&gt;0,H9/B9,"")</f>
        <v>0.2</v>
      </c>
    </row>
    <row r="10" customFormat="false" ht="15" hidden="false" customHeight="false" outlineLevel="0" collapsed="false">
      <c r="A10" s="5" t="s">
        <v>15</v>
      </c>
      <c r="B10" s="9" t="n">
        <v>15</v>
      </c>
      <c r="C10" s="9"/>
      <c r="D10" s="9"/>
      <c r="E10" s="9"/>
      <c r="F10" s="9"/>
      <c r="G10" s="9"/>
      <c r="H10" s="10" t="n">
        <f aca="false">SUM(C10:G10)</f>
        <v>0</v>
      </c>
      <c r="I10" s="11" t="n">
        <f aca="false">IF(B10&gt;0,H10/B10,"")</f>
        <v>0</v>
      </c>
    </row>
    <row r="11" customFormat="false" ht="15" hidden="false" customHeight="false" outlineLevel="0" collapsed="false">
      <c r="A11" s="5" t="s">
        <v>16</v>
      </c>
      <c r="B11" s="9" t="n">
        <v>2</v>
      </c>
      <c r="C11" s="9"/>
      <c r="D11" s="9"/>
      <c r="E11" s="9"/>
      <c r="F11" s="9"/>
      <c r="G11" s="9"/>
      <c r="H11" s="10" t="n">
        <f aca="false">SUM(C11:G11)</f>
        <v>0</v>
      </c>
      <c r="I11" s="11" t="n">
        <f aca="false">IF(B11&gt;0,H11/B11,"")</f>
        <v>0</v>
      </c>
    </row>
    <row r="12" customFormat="false" ht="15" hidden="false" customHeight="false" outlineLevel="0" collapsed="false">
      <c r="A12" s="5" t="s">
        <v>17</v>
      </c>
      <c r="B12" s="9" t="n">
        <v>1</v>
      </c>
      <c r="C12" s="9"/>
      <c r="D12" s="9"/>
      <c r="E12" s="9"/>
      <c r="F12" s="9"/>
      <c r="G12" s="9"/>
      <c r="H12" s="10" t="n">
        <f aca="false">SUM(C12:G12)</f>
        <v>0</v>
      </c>
      <c r="I12" s="11" t="n">
        <f aca="false">IF(B12&gt;0,H12/B12,"")</f>
        <v>0</v>
      </c>
    </row>
    <row r="13" customFormat="false" ht="15" hidden="false" customHeight="false" outlineLevel="0" collapsed="false">
      <c r="A13" s="5" t="s">
        <v>18</v>
      </c>
      <c r="B13" s="9" t="n">
        <v>2</v>
      </c>
      <c r="C13" s="9"/>
      <c r="D13" s="9"/>
      <c r="E13" s="9"/>
      <c r="F13" s="9"/>
      <c r="G13" s="9"/>
      <c r="H13" s="10" t="n">
        <f aca="false">SUM(C13:G13)</f>
        <v>0</v>
      </c>
      <c r="I13" s="11" t="n">
        <f aca="false">IF(B13&gt;0,H13/B13,"")</f>
        <v>0</v>
      </c>
    </row>
    <row r="14" customFormat="false" ht="15" hidden="false" customHeight="false" outlineLevel="0" collapsed="false">
      <c r="A14" s="5" t="s">
        <v>19</v>
      </c>
      <c r="B14" s="9" t="n">
        <v>3</v>
      </c>
      <c r="C14" s="9"/>
      <c r="D14" s="9"/>
      <c r="E14" s="9"/>
      <c r="F14" s="9"/>
      <c r="G14" s="9"/>
      <c r="H14" s="10" t="n">
        <f aca="false">SUM(C14:G14)</f>
        <v>0</v>
      </c>
      <c r="I14" s="11" t="n">
        <f aca="false">IF(B14&gt;0,H14/B14,"")</f>
        <v>0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12" t="s">
        <v>20</v>
      </c>
      <c r="B16" s="2"/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9.5" hidden="false" customHeight="true" outlineLevel="0" collapsed="false">
      <c r="A18" s="7" t="s">
        <v>21</v>
      </c>
      <c r="B18" s="7"/>
      <c r="C18" s="7"/>
      <c r="D18" s="7"/>
      <c r="E18" s="7"/>
      <c r="F18" s="7"/>
      <c r="G18" s="7"/>
      <c r="H18" s="7"/>
      <c r="I18" s="7"/>
    </row>
    <row r="19" customFormat="false" ht="15" hidden="false" customHeight="true" outlineLevel="0" collapsed="false">
      <c r="A19" s="5" t="s">
        <v>22</v>
      </c>
      <c r="B19" s="13" t="s">
        <v>23</v>
      </c>
      <c r="C19" s="13"/>
      <c r="D19" s="13"/>
      <c r="E19" s="13"/>
      <c r="F19" s="13"/>
      <c r="G19" s="13"/>
      <c r="H19" s="13"/>
      <c r="I19" s="13"/>
    </row>
    <row r="20" customFormat="false" ht="15" hidden="false" customHeight="true" outlineLevel="0" collapsed="false">
      <c r="A20" s="5" t="s">
        <v>24</v>
      </c>
      <c r="B20" s="13" t="s">
        <v>25</v>
      </c>
      <c r="C20" s="13"/>
      <c r="D20" s="13"/>
      <c r="E20" s="13"/>
      <c r="F20" s="13"/>
      <c r="G20" s="13"/>
      <c r="H20" s="13"/>
      <c r="I20" s="13"/>
    </row>
    <row r="21" customFormat="false" ht="15" hidden="false" customHeight="true" outlineLevel="0" collapsed="false">
      <c r="A21" s="5" t="s">
        <v>26</v>
      </c>
      <c r="B21" s="13" t="s">
        <v>27</v>
      </c>
      <c r="C21" s="13"/>
      <c r="D21" s="13"/>
      <c r="E21" s="13"/>
      <c r="F21" s="13"/>
      <c r="G21" s="13"/>
      <c r="H21" s="13"/>
      <c r="I21" s="13"/>
    </row>
    <row r="22" customFormat="false" ht="15" hidden="false" customHeight="true" outlineLevel="0" collapsed="false">
      <c r="A22" s="5" t="s">
        <v>28</v>
      </c>
      <c r="B22" s="13" t="s">
        <v>29</v>
      </c>
      <c r="C22" s="13"/>
      <c r="D22" s="13"/>
      <c r="E22" s="13"/>
      <c r="F22" s="13"/>
      <c r="G22" s="13"/>
      <c r="H22" s="13"/>
      <c r="I22" s="13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14" t="s">
        <v>30</v>
      </c>
      <c r="B24" s="2"/>
      <c r="C24" s="2"/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</row>
  </sheetData>
  <mergeCells count="6">
    <mergeCell ref="A7:I7"/>
    <mergeCell ref="A18:I18"/>
    <mergeCell ref="B19:I19"/>
    <mergeCell ref="B20:I20"/>
    <mergeCell ref="B21:I21"/>
    <mergeCell ref="B22:I22"/>
  </mergeCells>
  <conditionalFormatting sqref="I9:I14">
    <cfRule type="cellIs" priority="2" operator="lessThan" aboveAverage="0" equalAverage="0" bottom="0" percent="0" rank="0" text="" dxfId="0">
      <formula>0.6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0" min="10" style="0" width="26"/>
  </cols>
  <sheetData>
    <row r="1" customFormat="false" ht="27.75" hidden="false" customHeight="true" outlineLevel="0" collapsed="false">
      <c r="A1" s="1" t="s">
        <v>31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32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4" t="s">
        <v>33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30" hidden="false" customHeight="true" outlineLevel="0" collapsed="false">
      <c r="A5" s="8" t="s">
        <v>34</v>
      </c>
      <c r="B5" s="8" t="s">
        <v>35</v>
      </c>
      <c r="C5" s="8" t="s">
        <v>36</v>
      </c>
      <c r="D5" s="8" t="s">
        <v>37</v>
      </c>
      <c r="E5" s="8" t="s">
        <v>38</v>
      </c>
      <c r="F5" s="8" t="s">
        <v>39</v>
      </c>
      <c r="G5" s="8" t="s">
        <v>40</v>
      </c>
      <c r="H5" s="8" t="s">
        <v>41</v>
      </c>
      <c r="I5" s="8" t="s">
        <v>42</v>
      </c>
      <c r="J5" s="8" t="s">
        <v>43</v>
      </c>
    </row>
    <row r="6" customFormat="false" ht="22.35" hidden="false" customHeight="false" outlineLevel="0" collapsed="false">
      <c r="A6" s="6" t="n">
        <v>46308</v>
      </c>
      <c r="B6" s="15" t="s">
        <v>44</v>
      </c>
      <c r="C6" s="15" t="s">
        <v>45</v>
      </c>
      <c r="D6" s="15" t="s">
        <v>46</v>
      </c>
      <c r="E6" s="15" t="s">
        <v>47</v>
      </c>
      <c r="F6" s="9" t="n">
        <v>1</v>
      </c>
      <c r="G6" s="15" t="s">
        <v>48</v>
      </c>
      <c r="H6" s="15" t="s">
        <v>49</v>
      </c>
      <c r="I6" s="6" t="n">
        <v>46311</v>
      </c>
      <c r="J6" s="15" t="s">
        <v>50</v>
      </c>
    </row>
    <row r="7" customFormat="false" ht="15" hidden="false" customHeight="false" outlineLevel="0" collapsed="false">
      <c r="A7" s="6"/>
      <c r="B7" s="15"/>
      <c r="C7" s="15"/>
      <c r="D7" s="15"/>
      <c r="E7" s="15"/>
      <c r="F7" s="9"/>
      <c r="G7" s="15"/>
      <c r="H7" s="15"/>
      <c r="I7" s="6"/>
      <c r="J7" s="15"/>
    </row>
    <row r="8" customFormat="false" ht="15" hidden="false" customHeight="false" outlineLevel="0" collapsed="false">
      <c r="A8" s="6"/>
      <c r="B8" s="15"/>
      <c r="C8" s="15"/>
      <c r="D8" s="15"/>
      <c r="E8" s="15"/>
      <c r="F8" s="9"/>
      <c r="G8" s="15"/>
      <c r="H8" s="15"/>
      <c r="I8" s="6"/>
      <c r="J8" s="15"/>
    </row>
    <row r="9" customFormat="false" ht="15" hidden="false" customHeight="false" outlineLevel="0" collapsed="false">
      <c r="A9" s="6"/>
      <c r="B9" s="15"/>
      <c r="C9" s="15"/>
      <c r="D9" s="15"/>
      <c r="E9" s="15"/>
      <c r="F9" s="9"/>
      <c r="G9" s="15"/>
      <c r="H9" s="15"/>
      <c r="I9" s="6"/>
      <c r="J9" s="15"/>
    </row>
    <row r="10" customFormat="false" ht="15" hidden="false" customHeight="false" outlineLevel="0" collapsed="false">
      <c r="A10" s="6"/>
      <c r="B10" s="15"/>
      <c r="C10" s="15"/>
      <c r="D10" s="15"/>
      <c r="E10" s="15"/>
      <c r="F10" s="9"/>
      <c r="G10" s="15"/>
      <c r="H10" s="15"/>
      <c r="I10" s="6"/>
      <c r="J10" s="15"/>
    </row>
    <row r="11" customFormat="false" ht="15" hidden="false" customHeight="false" outlineLevel="0" collapsed="false">
      <c r="A11" s="6"/>
      <c r="B11" s="15"/>
      <c r="C11" s="15"/>
      <c r="D11" s="15"/>
      <c r="E11" s="15"/>
      <c r="F11" s="9"/>
      <c r="G11" s="15"/>
      <c r="H11" s="15"/>
      <c r="I11" s="6"/>
      <c r="J11" s="15"/>
    </row>
    <row r="12" customFormat="false" ht="15" hidden="false" customHeight="false" outlineLevel="0" collapsed="false">
      <c r="A12" s="6"/>
      <c r="B12" s="15"/>
      <c r="C12" s="15"/>
      <c r="D12" s="15"/>
      <c r="E12" s="15"/>
      <c r="F12" s="9"/>
      <c r="G12" s="15"/>
      <c r="H12" s="15"/>
      <c r="I12" s="6"/>
      <c r="J12" s="15"/>
    </row>
    <row r="13" customFormat="false" ht="15" hidden="false" customHeight="false" outlineLevel="0" collapsed="false">
      <c r="A13" s="6"/>
      <c r="B13" s="15"/>
      <c r="C13" s="15"/>
      <c r="D13" s="15"/>
      <c r="E13" s="15"/>
      <c r="F13" s="9"/>
      <c r="G13" s="15"/>
      <c r="H13" s="15"/>
      <c r="I13" s="6"/>
      <c r="J13" s="15"/>
    </row>
    <row r="14" customFormat="false" ht="15" hidden="false" customHeight="false" outlineLevel="0" collapsed="false">
      <c r="A14" s="6"/>
      <c r="B14" s="15"/>
      <c r="C14" s="15"/>
      <c r="D14" s="15"/>
      <c r="E14" s="15"/>
      <c r="F14" s="9"/>
      <c r="G14" s="15"/>
      <c r="H14" s="15"/>
      <c r="I14" s="6"/>
      <c r="J14" s="15"/>
    </row>
    <row r="15" customFormat="false" ht="15" hidden="false" customHeight="false" outlineLevel="0" collapsed="false">
      <c r="A15" s="6"/>
      <c r="B15" s="15"/>
      <c r="C15" s="15"/>
      <c r="D15" s="15"/>
      <c r="E15" s="15"/>
      <c r="F15" s="9"/>
      <c r="G15" s="15"/>
      <c r="H15" s="15"/>
      <c r="I15" s="6"/>
      <c r="J15" s="15"/>
    </row>
    <row r="16" customFormat="false" ht="15" hidden="false" customHeight="false" outlineLevel="0" collapsed="false">
      <c r="A16" s="6"/>
      <c r="B16" s="15"/>
      <c r="C16" s="15"/>
      <c r="D16" s="15"/>
      <c r="E16" s="15"/>
      <c r="F16" s="9"/>
      <c r="G16" s="15"/>
      <c r="H16" s="15"/>
      <c r="I16" s="6"/>
      <c r="J16" s="15"/>
    </row>
    <row r="17" customFormat="false" ht="15" hidden="false" customHeight="false" outlineLevel="0" collapsed="false">
      <c r="A17" s="6"/>
      <c r="B17" s="15"/>
      <c r="C17" s="15"/>
      <c r="D17" s="15"/>
      <c r="E17" s="15"/>
      <c r="F17" s="9"/>
      <c r="G17" s="15"/>
      <c r="H17" s="15"/>
      <c r="I17" s="6"/>
      <c r="J17" s="15"/>
    </row>
    <row r="18" customFormat="false" ht="15" hidden="false" customHeight="false" outlineLevel="0" collapsed="false">
      <c r="A18" s="6"/>
      <c r="B18" s="15"/>
      <c r="C18" s="15"/>
      <c r="D18" s="15"/>
      <c r="E18" s="15"/>
      <c r="F18" s="9"/>
      <c r="G18" s="15"/>
      <c r="H18" s="15"/>
      <c r="I18" s="6"/>
      <c r="J18" s="15"/>
    </row>
    <row r="19" customFormat="false" ht="15" hidden="false" customHeight="false" outlineLevel="0" collapsed="false">
      <c r="A19" s="6"/>
      <c r="B19" s="15"/>
      <c r="C19" s="15"/>
      <c r="D19" s="15"/>
      <c r="E19" s="15"/>
      <c r="F19" s="9"/>
      <c r="G19" s="15"/>
      <c r="H19" s="15"/>
      <c r="I19" s="6"/>
      <c r="J19" s="15"/>
    </row>
    <row r="20" customFormat="false" ht="15" hidden="false" customHeight="false" outlineLevel="0" collapsed="false">
      <c r="A20" s="6"/>
      <c r="B20" s="15"/>
      <c r="C20" s="15"/>
      <c r="D20" s="15"/>
      <c r="E20" s="15"/>
      <c r="F20" s="9"/>
      <c r="G20" s="15"/>
      <c r="H20" s="15"/>
      <c r="I20" s="6"/>
      <c r="J20" s="15"/>
    </row>
    <row r="21" customFormat="false" ht="15" hidden="false" customHeight="false" outlineLevel="0" collapsed="false">
      <c r="A21" s="6"/>
      <c r="B21" s="15"/>
      <c r="C21" s="15"/>
      <c r="D21" s="15"/>
      <c r="E21" s="15"/>
      <c r="F21" s="9"/>
      <c r="G21" s="15"/>
      <c r="H21" s="15"/>
      <c r="I21" s="6"/>
      <c r="J21" s="15"/>
    </row>
    <row r="22" customFormat="false" ht="15" hidden="false" customHeight="false" outlineLevel="0" collapsed="false">
      <c r="A22" s="6"/>
      <c r="B22" s="15"/>
      <c r="C22" s="15"/>
      <c r="D22" s="15"/>
      <c r="E22" s="15"/>
      <c r="F22" s="9"/>
      <c r="G22" s="15"/>
      <c r="H22" s="15"/>
      <c r="I22" s="6"/>
      <c r="J22" s="15"/>
    </row>
    <row r="23" customFormat="false" ht="15" hidden="false" customHeight="false" outlineLevel="0" collapsed="false">
      <c r="A23" s="6"/>
      <c r="B23" s="15"/>
      <c r="C23" s="15"/>
      <c r="D23" s="15"/>
      <c r="E23" s="15"/>
      <c r="F23" s="9"/>
      <c r="G23" s="15"/>
      <c r="H23" s="15"/>
      <c r="I23" s="6"/>
      <c r="J23" s="15"/>
    </row>
    <row r="24" customFormat="false" ht="15" hidden="false" customHeight="false" outlineLevel="0" collapsed="false">
      <c r="A24" s="6"/>
      <c r="B24" s="15"/>
      <c r="C24" s="15"/>
      <c r="D24" s="15"/>
      <c r="E24" s="15"/>
      <c r="F24" s="9"/>
      <c r="G24" s="15"/>
      <c r="H24" s="15"/>
      <c r="I24" s="6"/>
      <c r="J24" s="15"/>
    </row>
    <row r="25" customFormat="false" ht="15" hidden="false" customHeight="false" outlineLevel="0" collapsed="false">
      <c r="A25" s="6"/>
      <c r="B25" s="15"/>
      <c r="C25" s="15"/>
      <c r="D25" s="15"/>
      <c r="E25" s="15"/>
      <c r="F25" s="9"/>
      <c r="G25" s="15"/>
      <c r="H25" s="15"/>
      <c r="I25" s="6"/>
      <c r="J25" s="15"/>
    </row>
    <row r="26" customFormat="false" ht="15" hidden="false" customHeight="false" outlineLevel="0" collapsed="false">
      <c r="A26" s="6"/>
      <c r="B26" s="15"/>
      <c r="C26" s="15"/>
      <c r="D26" s="15"/>
      <c r="E26" s="15"/>
      <c r="F26" s="9"/>
      <c r="G26" s="15"/>
      <c r="H26" s="15"/>
      <c r="I26" s="6"/>
      <c r="J26" s="15"/>
    </row>
    <row r="27" customFormat="false" ht="15" hidden="false" customHeight="false" outlineLevel="0" collapsed="false">
      <c r="A27" s="6"/>
      <c r="B27" s="15"/>
      <c r="C27" s="15"/>
      <c r="D27" s="15"/>
      <c r="E27" s="15"/>
      <c r="F27" s="9"/>
      <c r="G27" s="15"/>
      <c r="H27" s="15"/>
      <c r="I27" s="6"/>
      <c r="J27" s="15"/>
    </row>
    <row r="28" customFormat="false" ht="15" hidden="false" customHeight="false" outlineLevel="0" collapsed="false">
      <c r="A28" s="6"/>
      <c r="B28" s="15"/>
      <c r="C28" s="15"/>
      <c r="D28" s="15"/>
      <c r="E28" s="15"/>
      <c r="F28" s="9"/>
      <c r="G28" s="15"/>
      <c r="H28" s="15"/>
      <c r="I28" s="6"/>
      <c r="J28" s="15"/>
    </row>
    <row r="29" customFormat="false" ht="15" hidden="false" customHeight="false" outlineLevel="0" collapsed="false">
      <c r="A29" s="6"/>
      <c r="B29" s="15"/>
      <c r="C29" s="15"/>
      <c r="D29" s="15"/>
      <c r="E29" s="15"/>
      <c r="F29" s="9"/>
      <c r="G29" s="15"/>
      <c r="H29" s="15"/>
      <c r="I29" s="6"/>
      <c r="J29" s="15"/>
    </row>
    <row r="30" customFormat="false" ht="15" hidden="false" customHeight="false" outlineLevel="0" collapsed="false">
      <c r="A30" s="6"/>
      <c r="B30" s="15"/>
      <c r="C30" s="15"/>
      <c r="D30" s="15"/>
      <c r="E30" s="15"/>
      <c r="F30" s="9"/>
      <c r="G30" s="15"/>
      <c r="H30" s="15"/>
      <c r="I30" s="6"/>
      <c r="J30" s="15"/>
    </row>
    <row r="31" customFormat="false" ht="15" hidden="false" customHeight="false" outlineLevel="0" collapsed="false">
      <c r="A31" s="6"/>
      <c r="B31" s="15"/>
      <c r="C31" s="15"/>
      <c r="D31" s="15"/>
      <c r="E31" s="15"/>
      <c r="F31" s="9"/>
      <c r="G31" s="15"/>
      <c r="H31" s="15"/>
      <c r="I31" s="6"/>
      <c r="J31" s="15"/>
    </row>
    <row r="32" customFormat="false" ht="15" hidden="false" customHeight="false" outlineLevel="0" collapsed="false">
      <c r="A32" s="6"/>
      <c r="B32" s="15"/>
      <c r="C32" s="15"/>
      <c r="D32" s="15"/>
      <c r="E32" s="15"/>
      <c r="F32" s="9"/>
      <c r="G32" s="15"/>
      <c r="H32" s="15"/>
      <c r="I32" s="6"/>
      <c r="J32" s="15"/>
    </row>
    <row r="33" customFormat="false" ht="15" hidden="false" customHeight="false" outlineLevel="0" collapsed="false">
      <c r="A33" s="6"/>
      <c r="B33" s="15"/>
      <c r="C33" s="15"/>
      <c r="D33" s="15"/>
      <c r="E33" s="15"/>
      <c r="F33" s="9"/>
      <c r="G33" s="15"/>
      <c r="H33" s="15"/>
      <c r="I33" s="6"/>
      <c r="J33" s="15"/>
    </row>
    <row r="34" customFormat="false" ht="15" hidden="false" customHeight="false" outlineLevel="0" collapsed="false">
      <c r="A34" s="6"/>
      <c r="B34" s="15"/>
      <c r="C34" s="15"/>
      <c r="D34" s="15"/>
      <c r="E34" s="15"/>
      <c r="F34" s="9"/>
      <c r="G34" s="15"/>
      <c r="H34" s="15"/>
      <c r="I34" s="6"/>
      <c r="J34" s="15"/>
    </row>
    <row r="35" customFormat="false" ht="15" hidden="false" customHeight="false" outlineLevel="0" collapsed="false">
      <c r="A35" s="6"/>
      <c r="B35" s="15"/>
      <c r="C35" s="15"/>
      <c r="D35" s="15"/>
      <c r="E35" s="15"/>
      <c r="F35" s="9"/>
      <c r="G35" s="15"/>
      <c r="H35" s="15"/>
      <c r="I35" s="6"/>
      <c r="J35" s="15"/>
    </row>
    <row r="36" customFormat="false" ht="15" hidden="false" customHeight="false" outlineLevel="0" collapsed="false">
      <c r="A36" s="6"/>
      <c r="B36" s="15"/>
      <c r="C36" s="15"/>
      <c r="D36" s="15"/>
      <c r="E36" s="15"/>
      <c r="F36" s="9"/>
      <c r="G36" s="15"/>
      <c r="H36" s="15"/>
      <c r="I36" s="6"/>
      <c r="J36" s="15"/>
    </row>
    <row r="37" customFormat="false" ht="15" hidden="false" customHeight="false" outlineLevel="0" collapsed="false">
      <c r="A37" s="6"/>
      <c r="B37" s="15"/>
      <c r="C37" s="15"/>
      <c r="D37" s="15"/>
      <c r="E37" s="15"/>
      <c r="F37" s="9"/>
      <c r="G37" s="15"/>
      <c r="H37" s="15"/>
      <c r="I37" s="6"/>
      <c r="J37" s="15"/>
    </row>
    <row r="38" customFormat="false" ht="15" hidden="false" customHeight="false" outlineLevel="0" collapsed="false">
      <c r="A38" s="6"/>
      <c r="B38" s="15"/>
      <c r="C38" s="15"/>
      <c r="D38" s="15"/>
      <c r="E38" s="15"/>
      <c r="F38" s="9"/>
      <c r="G38" s="15"/>
      <c r="H38" s="15"/>
      <c r="I38" s="6"/>
      <c r="J38" s="15"/>
    </row>
    <row r="39" customFormat="false" ht="15" hidden="false" customHeight="false" outlineLevel="0" collapsed="false">
      <c r="A39" s="6"/>
      <c r="B39" s="15"/>
      <c r="C39" s="15"/>
      <c r="D39" s="15"/>
      <c r="E39" s="15"/>
      <c r="F39" s="9"/>
      <c r="G39" s="15"/>
      <c r="H39" s="15"/>
      <c r="I39" s="6"/>
      <c r="J39" s="15"/>
    </row>
    <row r="40" customFormat="false" ht="15" hidden="false" customHeight="false" outlineLevel="0" collapsed="false">
      <c r="A40" s="6"/>
      <c r="B40" s="15"/>
      <c r="C40" s="15"/>
      <c r="D40" s="15"/>
      <c r="E40" s="15"/>
      <c r="F40" s="9"/>
      <c r="G40" s="15"/>
      <c r="H40" s="15"/>
      <c r="I40" s="6"/>
      <c r="J40" s="15"/>
    </row>
    <row r="41" customFormat="false" ht="15" hidden="false" customHeight="false" outlineLevel="0" collapsed="false">
      <c r="A41" s="6"/>
      <c r="B41" s="15"/>
      <c r="C41" s="15"/>
      <c r="D41" s="15"/>
      <c r="E41" s="15"/>
      <c r="F41" s="9"/>
      <c r="G41" s="15"/>
      <c r="H41" s="15"/>
      <c r="I41" s="6"/>
      <c r="J41" s="15"/>
    </row>
    <row r="42" customFormat="false" ht="15" hidden="false" customHeight="false" outlineLevel="0" collapsed="false">
      <c r="A42" s="6"/>
      <c r="B42" s="15"/>
      <c r="C42" s="15"/>
      <c r="D42" s="15"/>
      <c r="E42" s="15"/>
      <c r="F42" s="9"/>
      <c r="G42" s="15"/>
      <c r="H42" s="15"/>
      <c r="I42" s="6"/>
      <c r="J42" s="15"/>
    </row>
    <row r="43" customFormat="false" ht="15" hidden="false" customHeight="false" outlineLevel="0" collapsed="false">
      <c r="A43" s="6"/>
      <c r="B43" s="15"/>
      <c r="C43" s="15"/>
      <c r="D43" s="15"/>
      <c r="E43" s="15"/>
      <c r="F43" s="9"/>
      <c r="G43" s="15"/>
      <c r="H43" s="15"/>
      <c r="I43" s="6"/>
      <c r="J43" s="15"/>
    </row>
    <row r="44" customFormat="false" ht="15" hidden="false" customHeight="false" outlineLevel="0" collapsed="false">
      <c r="A44" s="6"/>
      <c r="B44" s="15"/>
      <c r="C44" s="15"/>
      <c r="D44" s="15"/>
      <c r="E44" s="15"/>
      <c r="F44" s="9"/>
      <c r="G44" s="15"/>
      <c r="H44" s="15"/>
      <c r="I44" s="6"/>
      <c r="J44" s="15"/>
    </row>
    <row r="45" customFormat="false" ht="15" hidden="false" customHeight="false" outlineLevel="0" collapsed="false">
      <c r="A45" s="6"/>
      <c r="B45" s="15"/>
      <c r="C45" s="15"/>
      <c r="D45" s="15"/>
      <c r="E45" s="15"/>
      <c r="F45" s="9"/>
      <c r="G45" s="15"/>
      <c r="H45" s="15"/>
      <c r="I45" s="6"/>
      <c r="J45" s="15"/>
    </row>
    <row r="46" customFormat="false" ht="15" hidden="false" customHeight="false" outlineLevel="0" collapsed="false">
      <c r="A46" s="6"/>
      <c r="B46" s="15"/>
      <c r="C46" s="15"/>
      <c r="D46" s="15"/>
      <c r="E46" s="15"/>
      <c r="F46" s="9"/>
      <c r="G46" s="15"/>
      <c r="H46" s="15"/>
      <c r="I46" s="6"/>
      <c r="J46" s="15"/>
    </row>
    <row r="47" customFormat="false" ht="15" hidden="false" customHeight="false" outlineLevel="0" collapsed="false">
      <c r="A47" s="6"/>
      <c r="B47" s="15"/>
      <c r="C47" s="15"/>
      <c r="D47" s="15"/>
      <c r="E47" s="15"/>
      <c r="F47" s="9"/>
      <c r="G47" s="15"/>
      <c r="H47" s="15"/>
      <c r="I47" s="6"/>
      <c r="J47" s="15"/>
    </row>
    <row r="48" customFormat="false" ht="15" hidden="false" customHeight="false" outlineLevel="0" collapsed="false">
      <c r="A48" s="6"/>
      <c r="B48" s="15"/>
      <c r="C48" s="15"/>
      <c r="D48" s="15"/>
      <c r="E48" s="15"/>
      <c r="F48" s="9"/>
      <c r="G48" s="15"/>
      <c r="H48" s="15"/>
      <c r="I48" s="6"/>
      <c r="J48" s="15"/>
    </row>
    <row r="49" customFormat="false" ht="15" hidden="false" customHeight="false" outlineLevel="0" collapsed="false">
      <c r="A49" s="6"/>
      <c r="B49" s="15"/>
      <c r="C49" s="15"/>
      <c r="D49" s="15"/>
      <c r="E49" s="15"/>
      <c r="F49" s="9"/>
      <c r="G49" s="15"/>
      <c r="H49" s="15"/>
      <c r="I49" s="6"/>
      <c r="J49" s="15"/>
    </row>
    <row r="50" customFormat="false" ht="15" hidden="false" customHeight="false" outlineLevel="0" collapsed="false">
      <c r="A50" s="6"/>
      <c r="B50" s="15"/>
      <c r="C50" s="15"/>
      <c r="D50" s="15"/>
      <c r="E50" s="15"/>
      <c r="F50" s="9"/>
      <c r="G50" s="15"/>
      <c r="H50" s="15"/>
      <c r="I50" s="6"/>
      <c r="J50" s="15"/>
    </row>
    <row r="51" customFormat="false" ht="15" hidden="false" customHeight="false" outlineLevel="0" collapsed="false">
      <c r="A51" s="6"/>
      <c r="B51" s="15"/>
      <c r="C51" s="15"/>
      <c r="D51" s="15"/>
      <c r="E51" s="15"/>
      <c r="F51" s="9"/>
      <c r="G51" s="15"/>
      <c r="H51" s="15"/>
      <c r="I51" s="6"/>
      <c r="J51" s="15"/>
    </row>
    <row r="52" customFormat="false" ht="15" hidden="false" customHeight="false" outlineLevel="0" collapsed="false">
      <c r="A52" s="6"/>
      <c r="B52" s="15"/>
      <c r="C52" s="15"/>
      <c r="D52" s="15"/>
      <c r="E52" s="15"/>
      <c r="F52" s="9"/>
      <c r="G52" s="15"/>
      <c r="H52" s="15"/>
      <c r="I52" s="6"/>
      <c r="J52" s="15"/>
    </row>
    <row r="53" customFormat="false" ht="15" hidden="false" customHeight="false" outlineLevel="0" collapsed="false">
      <c r="A53" s="6"/>
      <c r="B53" s="15"/>
      <c r="C53" s="15"/>
      <c r="D53" s="15"/>
      <c r="E53" s="15"/>
      <c r="F53" s="9"/>
      <c r="G53" s="15"/>
      <c r="H53" s="15"/>
      <c r="I53" s="6"/>
      <c r="J53" s="15"/>
    </row>
    <row r="54" customFormat="false" ht="15" hidden="false" customHeight="false" outlineLevel="0" collapsed="false">
      <c r="A54" s="6"/>
      <c r="B54" s="15"/>
      <c r="C54" s="15"/>
      <c r="D54" s="15"/>
      <c r="E54" s="15"/>
      <c r="F54" s="9"/>
      <c r="G54" s="15"/>
      <c r="H54" s="15"/>
      <c r="I54" s="6"/>
      <c r="J54" s="15"/>
    </row>
    <row r="55" customFormat="false" ht="15" hidden="false" customHeight="false" outlineLevel="0" collapsed="false">
      <c r="A55" s="6"/>
      <c r="B55" s="15"/>
      <c r="C55" s="15"/>
      <c r="D55" s="15"/>
      <c r="E55" s="15"/>
      <c r="F55" s="9"/>
      <c r="G55" s="15"/>
      <c r="H55" s="15"/>
      <c r="I55" s="6"/>
      <c r="J55" s="15"/>
    </row>
    <row r="56" customFormat="false" ht="15" hidden="false" customHeight="false" outlineLevel="0" collapsed="false">
      <c r="A56" s="6"/>
      <c r="B56" s="15"/>
      <c r="C56" s="15"/>
      <c r="D56" s="15"/>
      <c r="E56" s="15"/>
      <c r="F56" s="9"/>
      <c r="G56" s="15"/>
      <c r="H56" s="15"/>
      <c r="I56" s="6"/>
      <c r="J56" s="15"/>
    </row>
    <row r="57" customFormat="false" ht="15" hidden="false" customHeight="false" outlineLevel="0" collapsed="false">
      <c r="A57" s="6"/>
      <c r="B57" s="15"/>
      <c r="C57" s="15"/>
      <c r="D57" s="15"/>
      <c r="E57" s="15"/>
      <c r="F57" s="9"/>
      <c r="G57" s="15"/>
      <c r="H57" s="15"/>
      <c r="I57" s="6"/>
      <c r="J57" s="15"/>
    </row>
    <row r="58" customFormat="false" ht="15" hidden="false" customHeight="false" outlineLevel="0" collapsed="false">
      <c r="A58" s="6"/>
      <c r="B58" s="15"/>
      <c r="C58" s="15"/>
      <c r="D58" s="15"/>
      <c r="E58" s="15"/>
      <c r="F58" s="9"/>
      <c r="G58" s="15"/>
      <c r="H58" s="15"/>
      <c r="I58" s="6"/>
      <c r="J58" s="15"/>
    </row>
    <row r="59" customFormat="false" ht="15" hidden="false" customHeight="false" outlineLevel="0" collapsed="false">
      <c r="A59" s="6"/>
      <c r="B59" s="15"/>
      <c r="C59" s="15"/>
      <c r="D59" s="15"/>
      <c r="E59" s="15"/>
      <c r="F59" s="9"/>
      <c r="G59" s="15"/>
      <c r="H59" s="15"/>
      <c r="I59" s="6"/>
      <c r="J59" s="15"/>
    </row>
    <row r="60" customFormat="false" ht="15" hidden="false" customHeight="false" outlineLevel="0" collapsed="false">
      <c r="A60" s="6"/>
      <c r="B60" s="15"/>
      <c r="C60" s="15"/>
      <c r="D60" s="15"/>
      <c r="E60" s="15"/>
      <c r="F60" s="9"/>
      <c r="G60" s="15"/>
      <c r="H60" s="15"/>
      <c r="I60" s="6"/>
      <c r="J60" s="15"/>
    </row>
    <row r="61" customFormat="false" ht="15" hidden="false" customHeight="false" outlineLevel="0" collapsed="false">
      <c r="A61" s="6"/>
      <c r="B61" s="15"/>
      <c r="C61" s="15"/>
      <c r="D61" s="15"/>
      <c r="E61" s="15"/>
      <c r="F61" s="9"/>
      <c r="G61" s="15"/>
      <c r="H61" s="15"/>
      <c r="I61" s="6"/>
      <c r="J61" s="15"/>
    </row>
    <row r="62" customFormat="false" ht="15" hidden="false" customHeight="false" outlineLevel="0" collapsed="false">
      <c r="A62" s="6"/>
      <c r="B62" s="15"/>
      <c r="C62" s="15"/>
      <c r="D62" s="15"/>
      <c r="E62" s="15"/>
      <c r="F62" s="9"/>
      <c r="G62" s="15"/>
      <c r="H62" s="15"/>
      <c r="I62" s="6"/>
      <c r="J62" s="15"/>
    </row>
    <row r="63" customFormat="false" ht="15" hidden="false" customHeight="false" outlineLevel="0" collapsed="false">
      <c r="A63" s="6"/>
      <c r="B63" s="15"/>
      <c r="C63" s="15"/>
      <c r="D63" s="15"/>
      <c r="E63" s="15"/>
      <c r="F63" s="9"/>
      <c r="G63" s="15"/>
      <c r="H63" s="15"/>
      <c r="I63" s="6"/>
      <c r="J63" s="15"/>
    </row>
    <row r="64" customFormat="false" ht="15" hidden="false" customHeight="false" outlineLevel="0" collapsed="false">
      <c r="A64" s="6"/>
      <c r="B64" s="15"/>
      <c r="C64" s="15"/>
      <c r="D64" s="15"/>
      <c r="E64" s="15"/>
      <c r="F64" s="9"/>
      <c r="G64" s="15"/>
      <c r="H64" s="15"/>
      <c r="I64" s="6"/>
      <c r="J64" s="15"/>
    </row>
    <row r="65" customFormat="false" ht="15" hidden="false" customHeight="false" outlineLevel="0" collapsed="false">
      <c r="A65" s="6"/>
      <c r="B65" s="15"/>
      <c r="C65" s="15"/>
      <c r="D65" s="15"/>
      <c r="E65" s="15"/>
      <c r="F65" s="9"/>
      <c r="G65" s="15"/>
      <c r="H65" s="15"/>
      <c r="I65" s="6"/>
      <c r="J65" s="15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9.5" hidden="false" customHeight="true" outlineLevel="0" collapsed="false">
      <c r="A67" s="7" t="s">
        <v>51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false" outlineLevel="0" collapsed="false">
      <c r="A68" s="5" t="s">
        <v>52</v>
      </c>
      <c r="B68" s="10" t="n">
        <f aca="false">COUNTA(B6:B65)</f>
        <v>1</v>
      </c>
      <c r="C68" s="2"/>
      <c r="D68" s="2"/>
      <c r="E68" s="2"/>
      <c r="F68" s="2"/>
      <c r="G68" s="2"/>
      <c r="H68" s="2"/>
      <c r="I68" s="2"/>
      <c r="J68" s="2"/>
    </row>
    <row r="69" customFormat="false" ht="15" hidden="false" customHeight="false" outlineLevel="0" collapsed="false">
      <c r="A69" s="5" t="s">
        <v>53</v>
      </c>
      <c r="B69" s="10" t="n">
        <f aca="false">COUNTIF(G6:G65,"Replied")+COUNTIF(G6:G65,"Meeting set")+COUNTIF(G6:G65,"Tasting set")+COUNTIF(G6:G65,"Booked")</f>
        <v>1</v>
      </c>
      <c r="C69" s="2"/>
      <c r="D69" s="2"/>
      <c r="E69" s="2"/>
      <c r="F69" s="2"/>
      <c r="G69" s="2"/>
      <c r="H69" s="2"/>
      <c r="I69" s="2"/>
      <c r="J69" s="2"/>
    </row>
    <row r="70" customFormat="false" ht="22.35" hidden="false" customHeight="false" outlineLevel="0" collapsed="false">
      <c r="A70" s="5" t="s">
        <v>54</v>
      </c>
      <c r="B70" s="10" t="n">
        <f aca="false">COUNTIF(G6:G65,"Meeting set")+COUNTIF(G6:G65,"Tasting set")</f>
        <v>0</v>
      </c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A71" s="5" t="s">
        <v>55</v>
      </c>
      <c r="B71" s="10" t="n">
        <f aca="false">COUNTIF(G6:G65,"Booked")</f>
        <v>0</v>
      </c>
      <c r="C71" s="2"/>
      <c r="D71" s="2"/>
      <c r="E71" s="2"/>
      <c r="F71" s="2"/>
      <c r="G71" s="2"/>
      <c r="H71" s="2"/>
      <c r="I71" s="2"/>
      <c r="J71" s="2"/>
    </row>
    <row r="72" customFormat="false" ht="15" hidden="false" customHeight="false" outlineLevel="0" collapsed="false">
      <c r="A72" s="5" t="s">
        <v>56</v>
      </c>
      <c r="B72" s="11" t="n">
        <f aca="false">IF(B68&gt;0,B69/B68,"")</f>
        <v>1</v>
      </c>
      <c r="C72" s="12" t="s">
        <v>57</v>
      </c>
      <c r="D72" s="2"/>
      <c r="E72" s="2"/>
      <c r="F72" s="2"/>
      <c r="G72" s="2"/>
      <c r="H72" s="2"/>
      <c r="I72" s="2"/>
      <c r="J72" s="2"/>
    </row>
    <row r="73" customFormat="false" ht="22.35" hidden="false" customHeight="false" outlineLevel="0" collapsed="false">
      <c r="A73" s="5" t="s">
        <v>58</v>
      </c>
      <c r="B73" s="11" t="n">
        <f aca="false">IF(B68&gt;0,B71/B68,"")</f>
        <v>0</v>
      </c>
      <c r="C73" s="2"/>
      <c r="D73" s="2"/>
      <c r="E73" s="2"/>
      <c r="F73" s="2"/>
      <c r="G73" s="2"/>
      <c r="H73" s="2"/>
      <c r="I73" s="2"/>
      <c r="J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5" hidden="false" customHeight="false" outlineLevel="0" collapsed="false">
      <c r="A75" s="14" t="s">
        <v>30</v>
      </c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</row>
  </sheetData>
  <mergeCells count="1">
    <mergeCell ref="A67:J67"/>
  </mergeCells>
  <dataValidations count="2">
    <dataValidation allowBlank="true" errorStyle="stop" operator="between" showDropDown="false" showErrorMessage="false" showInputMessage="false" sqref="E6:E65" type="list">
      <formula1>"Email,Call,Drop-in,Text,LinkedIn,Social DM,In person"</formula1>
      <formula2>0</formula2>
    </dataValidation>
    <dataValidation allowBlank="true" errorStyle="stop" operator="between" showDropDown="false" showErrorMessage="false" showInputMessage="false" sqref="G6:G65" type="list">
      <formula1>"No response,Replied,Meeting set,Tasting set,Booked,Not now,Not a fit"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1" t="s">
        <v>59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60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4" t="s">
        <v>33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30" hidden="false" customHeight="true" outlineLevel="0" collapsed="false">
      <c r="A5" s="8" t="s">
        <v>61</v>
      </c>
      <c r="B5" s="8" t="s">
        <v>62</v>
      </c>
      <c r="C5" s="8" t="s">
        <v>36</v>
      </c>
      <c r="D5" s="8" t="s">
        <v>63</v>
      </c>
      <c r="E5" s="8" t="s">
        <v>64</v>
      </c>
      <c r="F5" s="8" t="s">
        <v>65</v>
      </c>
      <c r="G5" s="8" t="s">
        <v>66</v>
      </c>
      <c r="H5" s="8" t="s">
        <v>67</v>
      </c>
      <c r="I5" s="8" t="s">
        <v>43</v>
      </c>
    </row>
    <row r="6" customFormat="false" ht="22.35" hidden="false" customHeight="false" outlineLevel="0" collapsed="false">
      <c r="A6" s="15" t="s">
        <v>68</v>
      </c>
      <c r="B6" s="15" t="s">
        <v>69</v>
      </c>
      <c r="C6" s="15" t="s">
        <v>70</v>
      </c>
      <c r="D6" s="15" t="s">
        <v>71</v>
      </c>
      <c r="E6" s="9" t="n">
        <v>3</v>
      </c>
      <c r="F6" s="9" t="n">
        <v>1</v>
      </c>
      <c r="G6" s="16" t="n">
        <v>4800</v>
      </c>
      <c r="H6" s="6" t="n">
        <v>46304</v>
      </c>
      <c r="I6" s="15" t="s">
        <v>72</v>
      </c>
    </row>
    <row r="7" customFormat="false" ht="15" hidden="false" customHeight="false" outlineLevel="0" collapsed="false">
      <c r="A7" s="15"/>
      <c r="B7" s="15"/>
      <c r="C7" s="15"/>
      <c r="D7" s="15"/>
      <c r="E7" s="9"/>
      <c r="F7" s="9"/>
      <c r="G7" s="16"/>
      <c r="H7" s="6"/>
      <c r="I7" s="15"/>
    </row>
    <row r="8" customFormat="false" ht="15" hidden="false" customHeight="false" outlineLevel="0" collapsed="false">
      <c r="A8" s="15"/>
      <c r="B8" s="15"/>
      <c r="C8" s="15"/>
      <c r="D8" s="15"/>
      <c r="E8" s="9"/>
      <c r="F8" s="9"/>
      <c r="G8" s="16"/>
      <c r="H8" s="6"/>
      <c r="I8" s="15"/>
    </row>
    <row r="9" customFormat="false" ht="15" hidden="false" customHeight="false" outlineLevel="0" collapsed="false">
      <c r="A9" s="15"/>
      <c r="B9" s="15"/>
      <c r="C9" s="15"/>
      <c r="D9" s="15"/>
      <c r="E9" s="9"/>
      <c r="F9" s="9"/>
      <c r="G9" s="16"/>
      <c r="H9" s="6"/>
      <c r="I9" s="15"/>
    </row>
    <row r="10" customFormat="false" ht="15" hidden="false" customHeight="false" outlineLevel="0" collapsed="false">
      <c r="A10" s="15"/>
      <c r="B10" s="15"/>
      <c r="C10" s="15"/>
      <c r="D10" s="15"/>
      <c r="E10" s="9"/>
      <c r="F10" s="9"/>
      <c r="G10" s="16"/>
      <c r="H10" s="6"/>
      <c r="I10" s="15"/>
    </row>
    <row r="11" customFormat="false" ht="15" hidden="false" customHeight="false" outlineLevel="0" collapsed="false">
      <c r="A11" s="15"/>
      <c r="B11" s="15"/>
      <c r="C11" s="15"/>
      <c r="D11" s="15"/>
      <c r="E11" s="9"/>
      <c r="F11" s="9"/>
      <c r="G11" s="16"/>
      <c r="H11" s="6"/>
      <c r="I11" s="15"/>
    </row>
    <row r="12" customFormat="false" ht="15" hidden="false" customHeight="false" outlineLevel="0" collapsed="false">
      <c r="A12" s="15"/>
      <c r="B12" s="15"/>
      <c r="C12" s="15"/>
      <c r="D12" s="15"/>
      <c r="E12" s="9"/>
      <c r="F12" s="9"/>
      <c r="G12" s="16"/>
      <c r="H12" s="6"/>
      <c r="I12" s="15"/>
    </row>
    <row r="13" customFormat="false" ht="15" hidden="false" customHeight="false" outlineLevel="0" collapsed="false">
      <c r="A13" s="15"/>
      <c r="B13" s="15"/>
      <c r="C13" s="15"/>
      <c r="D13" s="15"/>
      <c r="E13" s="9"/>
      <c r="F13" s="9"/>
      <c r="G13" s="16"/>
      <c r="H13" s="6"/>
      <c r="I13" s="15"/>
    </row>
    <row r="14" customFormat="false" ht="15" hidden="false" customHeight="false" outlineLevel="0" collapsed="false">
      <c r="A14" s="15"/>
      <c r="B14" s="15"/>
      <c r="C14" s="15"/>
      <c r="D14" s="15"/>
      <c r="E14" s="9"/>
      <c r="F14" s="9"/>
      <c r="G14" s="16"/>
      <c r="H14" s="6"/>
      <c r="I14" s="15"/>
    </row>
    <row r="15" customFormat="false" ht="15" hidden="false" customHeight="false" outlineLevel="0" collapsed="false">
      <c r="A15" s="15"/>
      <c r="B15" s="15"/>
      <c r="C15" s="15"/>
      <c r="D15" s="15"/>
      <c r="E15" s="9"/>
      <c r="F15" s="9"/>
      <c r="G15" s="16"/>
      <c r="H15" s="6"/>
      <c r="I15" s="15"/>
    </row>
    <row r="16" customFormat="false" ht="15" hidden="false" customHeight="false" outlineLevel="0" collapsed="false">
      <c r="A16" s="15"/>
      <c r="B16" s="15"/>
      <c r="C16" s="15"/>
      <c r="D16" s="15"/>
      <c r="E16" s="9"/>
      <c r="F16" s="9"/>
      <c r="G16" s="16"/>
      <c r="H16" s="6"/>
      <c r="I16" s="15"/>
    </row>
    <row r="17" customFormat="false" ht="15" hidden="false" customHeight="false" outlineLevel="0" collapsed="false">
      <c r="A17" s="15"/>
      <c r="B17" s="15"/>
      <c r="C17" s="15"/>
      <c r="D17" s="15"/>
      <c r="E17" s="9"/>
      <c r="F17" s="9"/>
      <c r="G17" s="16"/>
      <c r="H17" s="6"/>
      <c r="I17" s="15"/>
    </row>
    <row r="18" customFormat="false" ht="15" hidden="false" customHeight="false" outlineLevel="0" collapsed="false">
      <c r="A18" s="15"/>
      <c r="B18" s="15"/>
      <c r="C18" s="15"/>
      <c r="D18" s="15"/>
      <c r="E18" s="9"/>
      <c r="F18" s="9"/>
      <c r="G18" s="16"/>
      <c r="H18" s="6"/>
      <c r="I18" s="15"/>
    </row>
    <row r="19" customFormat="false" ht="15" hidden="false" customHeight="false" outlineLevel="0" collapsed="false">
      <c r="A19" s="15"/>
      <c r="B19" s="15"/>
      <c r="C19" s="15"/>
      <c r="D19" s="15"/>
      <c r="E19" s="9"/>
      <c r="F19" s="9"/>
      <c r="G19" s="16"/>
      <c r="H19" s="6"/>
      <c r="I19" s="15"/>
    </row>
    <row r="20" customFormat="false" ht="15" hidden="false" customHeight="false" outlineLevel="0" collapsed="false">
      <c r="A20" s="15"/>
      <c r="B20" s="15"/>
      <c r="C20" s="15"/>
      <c r="D20" s="15"/>
      <c r="E20" s="9"/>
      <c r="F20" s="9"/>
      <c r="G20" s="16"/>
      <c r="H20" s="6"/>
      <c r="I20" s="15"/>
    </row>
    <row r="21" customFormat="false" ht="15" hidden="false" customHeight="false" outlineLevel="0" collapsed="false">
      <c r="A21" s="15"/>
      <c r="B21" s="15"/>
      <c r="C21" s="15"/>
      <c r="D21" s="15"/>
      <c r="E21" s="9"/>
      <c r="F21" s="9"/>
      <c r="G21" s="16"/>
      <c r="H21" s="6"/>
      <c r="I21" s="15"/>
    </row>
    <row r="22" customFormat="false" ht="15" hidden="false" customHeight="false" outlineLevel="0" collapsed="false">
      <c r="A22" s="15"/>
      <c r="B22" s="15"/>
      <c r="C22" s="15"/>
      <c r="D22" s="15"/>
      <c r="E22" s="9"/>
      <c r="F22" s="9"/>
      <c r="G22" s="16"/>
      <c r="H22" s="6"/>
      <c r="I22" s="15"/>
    </row>
    <row r="23" customFormat="false" ht="15" hidden="false" customHeight="false" outlineLevel="0" collapsed="false">
      <c r="A23" s="15"/>
      <c r="B23" s="15"/>
      <c r="C23" s="15"/>
      <c r="D23" s="15"/>
      <c r="E23" s="9"/>
      <c r="F23" s="9"/>
      <c r="G23" s="16"/>
      <c r="H23" s="6"/>
      <c r="I23" s="15"/>
    </row>
    <row r="24" customFormat="false" ht="15" hidden="false" customHeight="false" outlineLevel="0" collapsed="false">
      <c r="A24" s="15"/>
      <c r="B24" s="15"/>
      <c r="C24" s="15"/>
      <c r="D24" s="15"/>
      <c r="E24" s="9"/>
      <c r="F24" s="9"/>
      <c r="G24" s="16"/>
      <c r="H24" s="6"/>
      <c r="I24" s="15"/>
    </row>
    <row r="25" customFormat="false" ht="15" hidden="false" customHeight="false" outlineLevel="0" collapsed="false">
      <c r="A25" s="15"/>
      <c r="B25" s="15"/>
      <c r="C25" s="15"/>
      <c r="D25" s="15"/>
      <c r="E25" s="9"/>
      <c r="F25" s="9"/>
      <c r="G25" s="16"/>
      <c r="H25" s="6"/>
      <c r="I25" s="15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9.5" hidden="false" customHeight="true" outlineLevel="0" collapsed="false">
      <c r="A27" s="7" t="s">
        <v>73</v>
      </c>
      <c r="B27" s="7"/>
      <c r="C27" s="7"/>
      <c r="D27" s="7"/>
      <c r="E27" s="7"/>
      <c r="F27" s="7"/>
      <c r="G27" s="7"/>
      <c r="H27" s="7"/>
      <c r="I27" s="7"/>
    </row>
    <row r="28" customFormat="false" ht="15" hidden="false" customHeight="false" outlineLevel="0" collapsed="false">
      <c r="A28" s="5" t="s">
        <v>74</v>
      </c>
      <c r="B28" s="10" t="n">
        <f aca="false">COUNTIF(D6:D25,"Active referrer")+COUNTIF(D6:D25,"Preferred vendor")</f>
        <v>0</v>
      </c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5" t="s">
        <v>75</v>
      </c>
      <c r="B29" s="10" t="n">
        <f aca="false">SUM(E6:E25)</f>
        <v>3</v>
      </c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5" t="s">
        <v>76</v>
      </c>
      <c r="B30" s="10" t="n">
        <f aca="false">SUM(F6:F25)</f>
        <v>1</v>
      </c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5" t="s">
        <v>77</v>
      </c>
      <c r="B31" s="11" t="n">
        <f aca="false">IF(B29&gt;0,B30/B29,"")</f>
        <v>0.333333333333333</v>
      </c>
      <c r="C31" s="2"/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5" t="s">
        <v>78</v>
      </c>
      <c r="B32" s="17" t="n">
        <f aca="false">SUM(G6:G25)</f>
        <v>4800</v>
      </c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14" t="s">
        <v>30</v>
      </c>
      <c r="B34" s="2"/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</row>
  </sheetData>
  <mergeCells count="1">
    <mergeCell ref="A27:I27"/>
  </mergeCells>
  <dataValidations count="2">
    <dataValidation allowBlank="true" errorStyle="stop" operator="between" showDropDown="false" showErrorMessage="false" showInputMessage="false" sqref="D6:D25" type="list">
      <formula1>"Identified,Pitched,Walkthrough done,Tasting done,Preferred vendor,Active referrer,Paused"</formula1>
      <formula2>0</formula2>
    </dataValidation>
    <dataValidation allowBlank="true" errorStyle="stop" operator="between" showDropDown="false" showErrorMessage="false" showInputMessage="false" sqref="B6:B25" type="list">
      <formula1>"Venue (no kitchen),Venue (has kitchen),Wedding planner,Corporate planner,Hotel,Rental company,Photographer/DJ,Other vendor"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2026-10-13T16:30:10Z</dcterms:created>
  <dc:creator>openpyxl</dc:creator>
  <dc:description/>
  <dc:language>en-US</dc:language>
  <cp:lastModifiedBy/>
  <dcterms:modified xsi:type="dcterms:W3CDTF">2026-10-13T16:30:10Z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