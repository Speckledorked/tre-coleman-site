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0-Day Calendar" sheetId="1" state="visible" r:id="rId3"/>
    <sheet name="Idea Bank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<sst xmlns="http://schemas.openxmlformats.org/spreadsheetml/2006/main" count="286" uniqueCount="141">
  <si>
    <t xml:space="preserve">30-DAY SOCIAL CONTENT CALENDAR</t>
  </si>
  <si>
    <t xml:space="preserve">The Catering People System | Module 2 | Posts aimed at buyers, not at other chefs</t>
  </si>
  <si>
    <t xml:space="preserve">Shaded cells = your inputs | Enter a start date in B5 and the dates fill in. Rows 1-6 show a filled example week.</t>
  </si>
  <si>
    <t xml:space="preserve">Start date</t>
  </si>
  <si>
    <t xml:space="preserve">Posts per week</t>
  </si>
  <si>
    <t xml:space="preserve">THE CALENDAR</t>
  </si>
  <si>
    <t xml:space="preserve">Date</t>
  </si>
  <si>
    <t xml:space="preserve">Day</t>
  </si>
  <si>
    <t xml:space="preserve">Pillar</t>
  </si>
  <si>
    <t xml:space="preserve">Audience</t>
  </si>
  <si>
    <t xml:space="preserve">Format</t>
  </si>
  <si>
    <t xml:space="preserve">Post idea / hook</t>
  </si>
  <si>
    <t xml:space="preserve">Call to action</t>
  </si>
  <si>
    <t xml:space="preserve">Platform</t>
  </si>
  <si>
    <t xml:space="preserve">Status</t>
  </si>
  <si>
    <t xml:space="preserve">Proof</t>
  </si>
  <si>
    <t xml:space="preserve">Corporate</t>
  </si>
  <si>
    <t xml:space="preserve">Photo carousel</t>
  </si>
  <si>
    <t xml:space="preserve">Setup shot: 60-person lunch, labeled and ready 15 min early</t>
  </si>
  <si>
    <t xml:space="preserve">Get our lunch menu</t>
  </si>
  <si>
    <t xml:space="preserve">Facebook</t>
  </si>
  <si>
    <t xml:space="preserve">Posted</t>
  </si>
  <si>
    <t xml:space="preserve">Behind the scenes</t>
  </si>
  <si>
    <t xml:space="preserve">Both</t>
  </si>
  <si>
    <t xml:space="preserve">Short video</t>
  </si>
  <si>
    <t xml:space="preserve">6 a.m. prep: 200 sliders in 90 seconds</t>
  </si>
  <si>
    <t xml:space="preserve">Book a tasting</t>
  </si>
  <si>
    <t xml:space="preserve">Instagram</t>
  </si>
  <si>
    <t xml:space="preserve">Menu spotlight</t>
  </si>
  <si>
    <t xml:space="preserve">Single photo</t>
  </si>
  <si>
    <t xml:space="preserve">Fall lunch box: what's inside and the per-person price range</t>
  </si>
  <si>
    <t xml:space="preserve">DM for the full menu</t>
  </si>
  <si>
    <t xml:space="preserve">LinkedIn</t>
  </si>
  <si>
    <t xml:space="preserve">Scheduled</t>
  </si>
  <si>
    <t xml:space="preserve">Client story</t>
  </si>
  <si>
    <t xml:space="preserve">Private</t>
  </si>
  <si>
    <t xml:space="preserve">Photo + quote</t>
  </si>
  <si>
    <t xml:space="preserve">Grad party for 120 in a backyard: the host's 2-line review</t>
  </si>
  <si>
    <t xml:space="preserve">Drafted</t>
  </si>
  <si>
    <t xml:space="preserve">Team</t>
  </si>
  <si>
    <t xml:space="preserve">Photo</t>
  </si>
  <si>
    <t xml:space="preserve">Meet our event captain: 9 years, never late</t>
  </si>
  <si>
    <t xml:space="preserve">Idea</t>
  </si>
  <si>
    <t xml:space="preserve">Offer</t>
  </si>
  <si>
    <t xml:space="preserve">Graphic</t>
  </si>
  <si>
    <t xml:space="preserve">Holiday party dates filling up: 4 Fridays left in December</t>
  </si>
  <si>
    <t xml:space="preserve">Reserve your date</t>
  </si>
  <si>
    <t xml:space="preserve">PILLAR MIX (TARGET VS. PLANNED)</t>
  </si>
  <si>
    <t xml:space="preserve">Target %</t>
  </si>
  <si>
    <t xml:space="preserve">Planned</t>
  </si>
  <si>
    <t xml:space="preserve">Actual %</t>
  </si>
  <si>
    <t xml:space="preserve">What it does</t>
  </si>
  <si>
    <t xml:space="preserve">Shows you deliver: setups, on-time, volume. Wins corporate buyers.</t>
  </si>
  <si>
    <t xml:space="preserve">Builds trust and personality. Prep, packing, the van.</t>
  </si>
  <si>
    <t xml:space="preserve">Makes ordering easy to picture. Include price ranges.</t>
  </si>
  <si>
    <t xml:space="preserve">Social proof in their words. Wins private hosts.</t>
  </si>
  <si>
    <t xml:space="preserve">Humanizes you. Helps hiring too (Module 4).</t>
  </si>
  <si>
    <t xml:space="preserve">The ask. Dates, seasonal menus, tastings. Keep it under 1 in 5.</t>
  </si>
  <si>
    <t xml:space="preserve">Posts planned</t>
  </si>
  <si>
    <t xml:space="preserve">Offer posts over 20% of the mix start to feel like ads. Proof + client stories should be about 40%.</t>
  </si>
  <si>
    <t xml:space="preserve">The Catering People System | Module 2: Marketing | trecoleman.com</t>
  </si>
  <si>
    <t xml:space="preserve">60 POST IDEAS THAT BOOK GIGS</t>
  </si>
  <si>
    <t xml:space="preserve">The Catering People System | Module 2 | Steal these when you are stuck</t>
  </si>
  <si>
    <t xml:space="preserve">Copy any idea into the 30-Day Calendar. The best performers in your market will surprise you, so test.</t>
  </si>
  <si>
    <t xml:space="preserve">Best for</t>
  </si>
  <si>
    <t xml:space="preserve">Wide shot of a full setup 15 minutes before guests arrive</t>
  </si>
  <si>
    <t xml:space="preserve">Labeled boxed lunches lined up and ready</t>
  </si>
  <si>
    <t xml:space="preserve">Before/after: empty room to set buffet</t>
  </si>
  <si>
    <t xml:space="preserve">'We fed 300 people at [event] today' with one photo</t>
  </si>
  <si>
    <t xml:space="preserve">Drop-off checklist photo: the 8 things we check before we leave</t>
  </si>
  <si>
    <t xml:space="preserve">Screenshot of a thank-you text (with permission)</t>
  </si>
  <si>
    <t xml:space="preserve">Map pin collage: offices and venues served this month</t>
  </si>
  <si>
    <t xml:space="preserve">Allergy labels close-up: how you keep guests safe</t>
  </si>
  <si>
    <t xml:space="preserve">Timelapse of a buffet build</t>
  </si>
  <si>
    <t xml:space="preserve">Your on-time record for the quarter</t>
  </si>
  <si>
    <t xml:space="preserve">5 a.m. prep shot with coffee</t>
  </si>
  <si>
    <t xml:space="preserve">Packing the van in load order</t>
  </si>
  <si>
    <t xml:space="preserve">Tasting day: what clients actually try</t>
  </si>
  <si>
    <t xml:space="preserve">Recipe testing for a new seasonal menu</t>
  </si>
  <si>
    <t xml:space="preserve">A day in the life of your event captain</t>
  </si>
  <si>
    <t xml:space="preserve">Grocery or produce pickup from a local farm</t>
  </si>
  <si>
    <t xml:space="preserve">Cleaning down after a big event</t>
  </si>
  <si>
    <t xml:space="preserve">How you label every container</t>
  </si>
  <si>
    <t xml:space="preserve">Planning board for a busy week</t>
  </si>
  <si>
    <t xml:space="preserve">The mistake you fixed on the fly (and how)</t>
  </si>
  <si>
    <t xml:space="preserve">One dish, one close-up, one sentence</t>
  </si>
  <si>
    <t xml:space="preserve">Lunch box contents with per-person price range</t>
  </si>
  <si>
    <t xml:space="preserve">Build-your-own bar setup</t>
  </si>
  <si>
    <t xml:space="preserve">Seasonal menu reveal</t>
  </si>
  <si>
    <t xml:space="preserve">Vegetarian and allergy-friendly options</t>
  </si>
  <si>
    <t xml:space="preserve">Breakfast catering for early meetings</t>
  </si>
  <si>
    <t xml:space="preserve">Dessert table close-ups</t>
  </si>
  <si>
    <t xml:space="preserve">Grazing table overhead shot</t>
  </si>
  <si>
    <t xml:space="preserve">'What 25 people get for $X'</t>
  </si>
  <si>
    <t xml:space="preserve">Kids' menu for family events</t>
  </si>
  <si>
    <t xml:space="preserve">Host quote + one photo from their event</t>
  </si>
  <si>
    <t xml:space="preserve">Office manager quote on reliability</t>
  </si>
  <si>
    <t xml:space="preserve">Wedding planner shout-out</t>
  </si>
  <si>
    <t xml:space="preserve">Repeat client anniversary: '12 lunches this year'</t>
  </si>
  <si>
    <t xml:space="preserve">Venue partner feature</t>
  </si>
  <si>
    <t xml:space="preserve">Partners</t>
  </si>
  <si>
    <t xml:space="preserve">'The save': rain, late guests, count doubled</t>
  </si>
  <si>
    <t xml:space="preserve">Nonprofit gala recap</t>
  </si>
  <si>
    <t xml:space="preserve">Teacher appreciation lunch</t>
  </si>
  <si>
    <t xml:space="preserve">Graduation party recap</t>
  </si>
  <si>
    <t xml:space="preserve">Client video thank-you (if they offer)</t>
  </si>
  <si>
    <t xml:space="preserve">Meet the team: name, role, favorite dish</t>
  </si>
  <si>
    <t xml:space="preserve">Staff anniversary shout-out</t>
  </si>
  <si>
    <t xml:space="preserve">New hire welcome</t>
  </si>
  <si>
    <t xml:space="preserve">Team photo before a big event</t>
  </si>
  <si>
    <t xml:space="preserve">Why I cater: one staff member's story</t>
  </si>
  <si>
    <t xml:space="preserve">Uniform check: what professional looks like</t>
  </si>
  <si>
    <t xml:space="preserve">Hiring post: event servers wanted</t>
  </si>
  <si>
    <t xml:space="preserve">Team meal after a long weekend</t>
  </si>
  <si>
    <t xml:space="preserve">Training day photo</t>
  </si>
  <si>
    <t xml:space="preserve">Owner's note: why we started</t>
  </si>
  <si>
    <t xml:space="preserve">Holiday party dates filling up</t>
  </si>
  <si>
    <t xml:space="preserve">Book a tasting this month</t>
  </si>
  <si>
    <t xml:space="preserve">First office order: free dessert tray</t>
  </si>
  <si>
    <t xml:space="preserve">Graduation season packages</t>
  </si>
  <si>
    <t xml:space="preserve">Lunch-and-learn special for medical offices</t>
  </si>
  <si>
    <t xml:space="preserve">Referral thank-you program</t>
  </si>
  <si>
    <t xml:space="preserve">New seasonal menu launch</t>
  </si>
  <si>
    <t xml:space="preserve">Last-minute availability this weekend</t>
  </si>
  <si>
    <t xml:space="preserve">Venue partner package</t>
  </si>
  <si>
    <t xml:space="preserve">Q1 planning: lock in monthly lunches</t>
  </si>
  <si>
    <t xml:space="preserve">SOCIAL RESULTS TRACKER</t>
  </si>
  <si>
    <t xml:space="preserve">The Catering People System | Module 2 | Likes don't pay rent. Track inquiries.</t>
  </si>
  <si>
    <t xml:space="preserve">Shaded cells = your inputs | Log once a week. Row 1 is a filled example.</t>
  </si>
  <si>
    <t xml:space="preserve">Week of</t>
  </si>
  <si>
    <t xml:space="preserve">Posts</t>
  </si>
  <si>
    <t xml:space="preserve">Reach</t>
  </si>
  <si>
    <t xml:space="preserve">DMs / calls</t>
  </si>
  <si>
    <t xml:space="preserve">Inquiries</t>
  </si>
  <si>
    <t xml:space="preserve">Booked</t>
  </si>
  <si>
    <t xml:space="preserve">Revenue booked ($)</t>
  </si>
  <si>
    <t xml:space="preserve">TOTALS</t>
  </si>
  <si>
    <t xml:space="preserve">Inquiries from social</t>
  </si>
  <si>
    <t xml:space="preserve">Inquiries per post</t>
  </si>
  <si>
    <t xml:space="preserve">Ask every inquiry 'How did you hear about us?' and log it here. That is the only number that matters.</t>
  </si>
  <si>
    <t xml:space="preserve">Revenue per post ($)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</si>
</sst>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/dd/yyyy"/>
    <numFmt numFmtId="166" formatCode="0"/>
    <numFmt numFmtId="167" formatCode="mm/dd"/>
    <numFmt numFmtId="168" formatCode="0%"/>
    <numFmt numFmtId="169" formatCode="#,##0"/>
    <numFmt numFmtId="170" formatCode="\$#,##0;&quot;($&quot;#,##0\);\-"/>
    <numFmt numFmtId="171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1917"/>
      <name val="Arial"/>
      <family val="0"/>
      <charset val="1"/>
    </font>
    <font>
      <i val="true"/>
      <sz val="10"/>
      <color rgb="FF55524B"/>
      <name val="Arial"/>
      <family val="0"/>
      <charset val="1"/>
    </font>
    <font>
      <b val="true"/>
      <sz val="9"/>
      <color rgb="FFA3121D"/>
      <name val="Arial"/>
      <family val="0"/>
      <charset val="1"/>
    </font>
    <font>
      <b val="true"/>
      <sz val="9"/>
      <color rgb="FF1A1917"/>
      <name val="Arial"/>
      <family val="0"/>
      <charset val="1"/>
    </font>
    <font>
      <sz val="9"/>
      <color rgb="FF1A1917"/>
      <name val="Arial"/>
      <family val="0"/>
      <charset val="1"/>
    </font>
    <font>
      <b val="true"/>
      <sz val="10"/>
      <color rgb="FFFBFAF7"/>
      <name val="Arial"/>
      <family val="0"/>
      <charset val="1"/>
    </font>
    <font>
      <sz val="9"/>
      <color rgb="FF55524B"/>
      <name val="Arial"/>
      <family val="0"/>
      <charset val="1"/>
    </font>
    <font>
      <i val="true"/>
      <sz val="9"/>
      <color rgb="FF55524B"/>
      <name val="Arial"/>
      <family val="0"/>
      <charset val="1"/>
    </font>
    <font>
      <sz val="8"/>
      <color rgb="FF55524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BFAF7"/>
        <bgColor rgb="FFFFFFFF"/>
      </patternFill>
    </fill>
    <fill>
      <patternFill patternType="solid">
        <fgColor rgb="FFFFFFFF"/>
        <bgColor rgb="FFFBFAF7"/>
      </patternFill>
    </fill>
    <fill>
      <patternFill patternType="solid">
        <fgColor rgb="FFF4F1EA"/>
        <bgColor rgb="FFFBFAF7"/>
      </patternFill>
    </fill>
    <fill>
      <patternFill patternType="solid">
        <fgColor rgb="FF1A1917"/>
        <bgColor rgb="FF0000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39A86"/>
      </left>
      <right style="thin">
        <color rgb="FFA39A86"/>
      </right>
      <top style="thin">
        <color rgb="FFA39A86"/>
      </top>
      <bottom style="thin">
        <color rgb="FFA39A86"/>
      </bottom>
      <diagonal/>
    </border>
    <border diagonalUp="false" diagonalDown="false">
      <left style="thin">
        <color rgb="FFA39A86"/>
      </left>
      <right style="thin">
        <color rgb="FFA39A86"/>
      </right>
      <top style="thin">
        <color rgb="FFA39A86"/>
      </top>
      <bottom style="medium">
        <color rgb="FF1A1917"/>
      </bottom>
      <diagonal/>
    </border>
    <border diagonalUp="false" diagonalDown="false">
      <left style="thin">
        <color rgb="FFA39A86"/>
      </left>
      <right/>
      <top style="thin">
        <color rgb="FFA39A86"/>
      </top>
      <bottom style="thin">
        <color rgb="FFA39A8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3121D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AF7"/>
      <rgbColor rgb="FFF4F1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39A86"/>
      <rgbColor rgb="FF003366"/>
      <rgbColor rgb="FF339966"/>
      <rgbColor rgb="FF003300"/>
      <rgbColor rgb="FF1A1917"/>
      <rgbColor rgb="FF993300"/>
      <rgbColor rgb="FF993366"/>
      <rgbColor rgb="FF333399"/>
      <rgbColor rgb="FF5552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6" min="6" style="0" width="40"/>
    <col collapsed="false" customWidth="true" hidden="false" outlineLevel="0" max="7" min="7" style="0" width="24"/>
    <col collapsed="false" customWidth="true" hidden="false" outlineLevel="0" max="8" min="8" style="0" width="12"/>
    <col collapsed="false" customWidth="true" hidden="false" outlineLevel="0" max="9" min="9" style="0" width="11"/>
  </cols>
  <sheetData>
    <row r="1" customFormat="false" ht="27.7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15" hidden="false" customHeight="false" outlineLevel="0" collapsed="false">
      <c r="A5" s="5" t="s">
        <v>3</v>
      </c>
      <c r="B5" s="6" t="n">
        <v>46328</v>
      </c>
      <c r="C5" s="6"/>
      <c r="D5" s="5" t="s">
        <v>4</v>
      </c>
      <c r="E5" s="7" t="n">
        <v>3</v>
      </c>
      <c r="F5" s="2"/>
      <c r="G5" s="2"/>
      <c r="H5" s="2"/>
      <c r="I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</row>
    <row r="7" customFormat="false" ht="19.5" hidden="false" customHeight="true" outlineLevel="0" collapsed="false">
      <c r="A7" s="8" t="s">
        <v>5</v>
      </c>
      <c r="B7" s="8"/>
      <c r="C7" s="8"/>
      <c r="D7" s="8"/>
      <c r="E7" s="8"/>
      <c r="F7" s="8"/>
      <c r="G7" s="8"/>
      <c r="H7" s="8"/>
      <c r="I7" s="8"/>
    </row>
    <row r="8" customFormat="false" ht="30" hidden="false" customHeight="true" outlineLevel="0" collapsed="false">
      <c r="A8" s="9" t="s">
        <v>6</v>
      </c>
      <c r="B8" s="9" t="s">
        <v>7</v>
      </c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  <c r="H8" s="9" t="s">
        <v>13</v>
      </c>
      <c r="I8" s="9" t="s">
        <v>14</v>
      </c>
    </row>
    <row r="9" customFormat="false" ht="22.35" hidden="false" customHeight="false" outlineLevel="0" collapsed="false">
      <c r="A9" s="10" t="n">
        <f aca="false">$B$5+0</f>
        <v>46328</v>
      </c>
      <c r="B9" s="11" t="str">
        <f aca="false">TEXT(A9,"ddd")</f>
        <v>Mon</v>
      </c>
      <c r="C9" s="12" t="s">
        <v>15</v>
      </c>
      <c r="D9" s="12" t="s">
        <v>16</v>
      </c>
      <c r="E9" s="12" t="s">
        <v>17</v>
      </c>
      <c r="F9" s="12" t="s">
        <v>18</v>
      </c>
      <c r="G9" s="12" t="s">
        <v>19</v>
      </c>
      <c r="H9" s="12" t="s">
        <v>20</v>
      </c>
      <c r="I9" s="12" t="s">
        <v>21</v>
      </c>
    </row>
    <row r="10" customFormat="false" ht="15" hidden="false" customHeight="false" outlineLevel="0" collapsed="false">
      <c r="A10" s="10" t="n">
        <f aca="false">$B$5+1</f>
        <v>46329</v>
      </c>
      <c r="B10" s="11" t="str">
        <f aca="false">TEXT(A10,"ddd")</f>
        <v>Tue</v>
      </c>
      <c r="C10" s="12" t="s">
        <v>22</v>
      </c>
      <c r="D10" s="12" t="s">
        <v>23</v>
      </c>
      <c r="E10" s="12" t="s">
        <v>24</v>
      </c>
      <c r="F10" s="12" t="s">
        <v>25</v>
      </c>
      <c r="G10" s="12" t="s">
        <v>26</v>
      </c>
      <c r="H10" s="12" t="s">
        <v>27</v>
      </c>
      <c r="I10" s="12" t="s">
        <v>21</v>
      </c>
    </row>
    <row r="11" customFormat="false" ht="22.35" hidden="false" customHeight="false" outlineLevel="0" collapsed="false">
      <c r="A11" s="10" t="n">
        <f aca="false">$B$5+2</f>
        <v>46330</v>
      </c>
      <c r="B11" s="11" t="str">
        <f aca="false">TEXT(A11,"ddd")</f>
        <v>Wed</v>
      </c>
      <c r="C11" s="12" t="s">
        <v>28</v>
      </c>
      <c r="D11" s="12" t="s">
        <v>16</v>
      </c>
      <c r="E11" s="12" t="s">
        <v>29</v>
      </c>
      <c r="F11" s="12" t="s">
        <v>30</v>
      </c>
      <c r="G11" s="12" t="s">
        <v>31</v>
      </c>
      <c r="H11" s="12" t="s">
        <v>32</v>
      </c>
      <c r="I11" s="12" t="s">
        <v>33</v>
      </c>
    </row>
    <row r="12" customFormat="false" ht="22.35" hidden="false" customHeight="false" outlineLevel="0" collapsed="false">
      <c r="A12" s="10" t="n">
        <f aca="false">$B$5+3</f>
        <v>46331</v>
      </c>
      <c r="B12" s="11" t="str">
        <f aca="false">TEXT(A12,"ddd")</f>
        <v>Thu</v>
      </c>
      <c r="C12" s="12" t="s">
        <v>34</v>
      </c>
      <c r="D12" s="12" t="s">
        <v>35</v>
      </c>
      <c r="E12" s="12" t="s">
        <v>36</v>
      </c>
      <c r="F12" s="12" t="s">
        <v>37</v>
      </c>
      <c r="G12" s="12" t="s">
        <v>26</v>
      </c>
      <c r="H12" s="12" t="s">
        <v>27</v>
      </c>
      <c r="I12" s="12" t="s">
        <v>38</v>
      </c>
    </row>
    <row r="13" customFormat="false" ht="15" hidden="false" customHeight="false" outlineLevel="0" collapsed="false">
      <c r="A13" s="10" t="n">
        <f aca="false">$B$5+4</f>
        <v>46332</v>
      </c>
      <c r="B13" s="11" t="str">
        <f aca="false">TEXT(A13,"ddd")</f>
        <v>Fri</v>
      </c>
      <c r="C13" s="12" t="s">
        <v>39</v>
      </c>
      <c r="D13" s="12" t="s">
        <v>23</v>
      </c>
      <c r="E13" s="12" t="s">
        <v>40</v>
      </c>
      <c r="F13" s="12" t="s">
        <v>41</v>
      </c>
      <c r="G13" s="12"/>
      <c r="H13" s="12" t="s">
        <v>20</v>
      </c>
      <c r="I13" s="12" t="s">
        <v>42</v>
      </c>
    </row>
    <row r="14" customFormat="false" ht="22.35" hidden="false" customHeight="false" outlineLevel="0" collapsed="false">
      <c r="A14" s="10" t="n">
        <f aca="false">$B$5+5</f>
        <v>46333</v>
      </c>
      <c r="B14" s="11" t="str">
        <f aca="false">TEXT(A14,"ddd")</f>
        <v>Sat</v>
      </c>
      <c r="C14" s="12" t="s">
        <v>43</v>
      </c>
      <c r="D14" s="12" t="s">
        <v>16</v>
      </c>
      <c r="E14" s="12" t="s">
        <v>44</v>
      </c>
      <c r="F14" s="12" t="s">
        <v>45</v>
      </c>
      <c r="G14" s="12" t="s">
        <v>46</v>
      </c>
      <c r="H14" s="12" t="s">
        <v>20</v>
      </c>
      <c r="I14" s="12" t="s">
        <v>42</v>
      </c>
    </row>
    <row r="15" customFormat="false" ht="15" hidden="false" customHeight="false" outlineLevel="0" collapsed="false">
      <c r="A15" s="10" t="n">
        <f aca="false">$B$5+6</f>
        <v>46334</v>
      </c>
      <c r="B15" s="11" t="str">
        <f aca="false">TEXT(A15,"ddd")</f>
        <v>Sun</v>
      </c>
      <c r="C15" s="12"/>
      <c r="D15" s="12"/>
      <c r="E15" s="12"/>
      <c r="F15" s="12"/>
      <c r="G15" s="12"/>
      <c r="H15" s="12"/>
      <c r="I15" s="12"/>
    </row>
    <row r="16" customFormat="false" ht="15" hidden="false" customHeight="false" outlineLevel="0" collapsed="false">
      <c r="A16" s="10" t="n">
        <f aca="false">$B$5+7</f>
        <v>46335</v>
      </c>
      <c r="B16" s="11" t="str">
        <f aca="false">TEXT(A16,"ddd")</f>
        <v>Mon</v>
      </c>
      <c r="C16" s="12"/>
      <c r="D16" s="12"/>
      <c r="E16" s="12"/>
      <c r="F16" s="12"/>
      <c r="G16" s="12"/>
      <c r="H16" s="12"/>
      <c r="I16" s="12"/>
    </row>
    <row r="17" customFormat="false" ht="15" hidden="false" customHeight="false" outlineLevel="0" collapsed="false">
      <c r="A17" s="10" t="n">
        <f aca="false">$B$5+8</f>
        <v>46336</v>
      </c>
      <c r="B17" s="11" t="str">
        <f aca="false">TEXT(A17,"ddd")</f>
        <v>Tue</v>
      </c>
      <c r="C17" s="12"/>
      <c r="D17" s="12"/>
      <c r="E17" s="12"/>
      <c r="F17" s="12"/>
      <c r="G17" s="12"/>
      <c r="H17" s="12"/>
      <c r="I17" s="12"/>
    </row>
    <row r="18" customFormat="false" ht="15" hidden="false" customHeight="false" outlineLevel="0" collapsed="false">
      <c r="A18" s="10" t="n">
        <f aca="false">$B$5+9</f>
        <v>46337</v>
      </c>
      <c r="B18" s="11" t="str">
        <f aca="false">TEXT(A18,"ddd")</f>
        <v>Wed</v>
      </c>
      <c r="C18" s="12"/>
      <c r="D18" s="12"/>
      <c r="E18" s="12"/>
      <c r="F18" s="12"/>
      <c r="G18" s="12"/>
      <c r="H18" s="12"/>
      <c r="I18" s="12"/>
    </row>
    <row r="19" customFormat="false" ht="15" hidden="false" customHeight="false" outlineLevel="0" collapsed="false">
      <c r="A19" s="10" t="n">
        <f aca="false">$B$5+10</f>
        <v>46338</v>
      </c>
      <c r="B19" s="11" t="str">
        <f aca="false">TEXT(A19,"ddd")</f>
        <v>Thu</v>
      </c>
      <c r="C19" s="12"/>
      <c r="D19" s="12"/>
      <c r="E19" s="12"/>
      <c r="F19" s="12"/>
      <c r="G19" s="12"/>
      <c r="H19" s="12"/>
      <c r="I19" s="12"/>
    </row>
    <row r="20" customFormat="false" ht="15" hidden="false" customHeight="false" outlineLevel="0" collapsed="false">
      <c r="A20" s="10" t="n">
        <f aca="false">$B$5+11</f>
        <v>46339</v>
      </c>
      <c r="B20" s="11" t="str">
        <f aca="false">TEXT(A20,"ddd")</f>
        <v>Fri</v>
      </c>
      <c r="C20" s="12"/>
      <c r="D20" s="12"/>
      <c r="E20" s="12"/>
      <c r="F20" s="12"/>
      <c r="G20" s="12"/>
      <c r="H20" s="12"/>
      <c r="I20" s="12"/>
    </row>
    <row r="21" customFormat="false" ht="15" hidden="false" customHeight="false" outlineLevel="0" collapsed="false">
      <c r="A21" s="10" t="n">
        <f aca="false">$B$5+12</f>
        <v>46340</v>
      </c>
      <c r="B21" s="11" t="str">
        <f aca="false">TEXT(A21,"ddd")</f>
        <v>Sat</v>
      </c>
      <c r="C21" s="12"/>
      <c r="D21" s="12"/>
      <c r="E21" s="12"/>
      <c r="F21" s="12"/>
      <c r="G21" s="12"/>
      <c r="H21" s="12"/>
      <c r="I21" s="12"/>
    </row>
    <row r="22" customFormat="false" ht="15" hidden="false" customHeight="false" outlineLevel="0" collapsed="false">
      <c r="A22" s="10" t="n">
        <f aca="false">$B$5+13</f>
        <v>46341</v>
      </c>
      <c r="B22" s="11" t="str">
        <f aca="false">TEXT(A22,"ddd")</f>
        <v>Sun</v>
      </c>
      <c r="C22" s="12"/>
      <c r="D22" s="12"/>
      <c r="E22" s="12"/>
      <c r="F22" s="12"/>
      <c r="G22" s="12"/>
      <c r="H22" s="12"/>
      <c r="I22" s="12"/>
    </row>
    <row r="23" customFormat="false" ht="15" hidden="false" customHeight="false" outlineLevel="0" collapsed="false">
      <c r="A23" s="10" t="n">
        <f aca="false">$B$5+14</f>
        <v>46342</v>
      </c>
      <c r="B23" s="11" t="str">
        <f aca="false">TEXT(A23,"ddd")</f>
        <v>Mon</v>
      </c>
      <c r="C23" s="12"/>
      <c r="D23" s="12"/>
      <c r="E23" s="12"/>
      <c r="F23" s="12"/>
      <c r="G23" s="12"/>
      <c r="H23" s="12"/>
      <c r="I23" s="12"/>
    </row>
    <row r="24" customFormat="false" ht="15" hidden="false" customHeight="false" outlineLevel="0" collapsed="false">
      <c r="A24" s="10" t="n">
        <f aca="false">$B$5+15</f>
        <v>46343</v>
      </c>
      <c r="B24" s="11" t="str">
        <f aca="false">TEXT(A24,"ddd")</f>
        <v>Tue</v>
      </c>
      <c r="C24" s="12"/>
      <c r="D24" s="12"/>
      <c r="E24" s="12"/>
      <c r="F24" s="12"/>
      <c r="G24" s="12"/>
      <c r="H24" s="12"/>
      <c r="I24" s="12"/>
    </row>
    <row r="25" customFormat="false" ht="15" hidden="false" customHeight="false" outlineLevel="0" collapsed="false">
      <c r="A25" s="10" t="n">
        <f aca="false">$B$5+16</f>
        <v>46344</v>
      </c>
      <c r="B25" s="11" t="str">
        <f aca="false">TEXT(A25,"ddd")</f>
        <v>Wed</v>
      </c>
      <c r="C25" s="12"/>
      <c r="D25" s="12"/>
      <c r="E25" s="12"/>
      <c r="F25" s="12"/>
      <c r="G25" s="12"/>
      <c r="H25" s="12"/>
      <c r="I25" s="12"/>
    </row>
    <row r="26" customFormat="false" ht="15" hidden="false" customHeight="false" outlineLevel="0" collapsed="false">
      <c r="A26" s="10" t="n">
        <f aca="false">$B$5+17</f>
        <v>46345</v>
      </c>
      <c r="B26" s="11" t="str">
        <f aca="false">TEXT(A26,"ddd")</f>
        <v>Thu</v>
      </c>
      <c r="C26" s="12"/>
      <c r="D26" s="12"/>
      <c r="E26" s="12"/>
      <c r="F26" s="12"/>
      <c r="G26" s="12"/>
      <c r="H26" s="12"/>
      <c r="I26" s="12"/>
    </row>
    <row r="27" customFormat="false" ht="15" hidden="false" customHeight="false" outlineLevel="0" collapsed="false">
      <c r="A27" s="10" t="n">
        <f aca="false">$B$5+18</f>
        <v>46346</v>
      </c>
      <c r="B27" s="11" t="str">
        <f aca="false">TEXT(A27,"ddd")</f>
        <v>Fri</v>
      </c>
      <c r="C27" s="12"/>
      <c r="D27" s="12"/>
      <c r="E27" s="12"/>
      <c r="F27" s="12"/>
      <c r="G27" s="12"/>
      <c r="H27" s="12"/>
      <c r="I27" s="12"/>
    </row>
    <row r="28" customFormat="false" ht="15" hidden="false" customHeight="false" outlineLevel="0" collapsed="false">
      <c r="A28" s="10" t="n">
        <f aca="false">$B$5+19</f>
        <v>46347</v>
      </c>
      <c r="B28" s="11" t="str">
        <f aca="false">TEXT(A28,"ddd")</f>
        <v>Sat</v>
      </c>
      <c r="C28" s="12"/>
      <c r="D28" s="12"/>
      <c r="E28" s="12"/>
      <c r="F28" s="12"/>
      <c r="G28" s="12"/>
      <c r="H28" s="12"/>
      <c r="I28" s="12"/>
    </row>
    <row r="29" customFormat="false" ht="15" hidden="false" customHeight="false" outlineLevel="0" collapsed="false">
      <c r="A29" s="10" t="n">
        <f aca="false">$B$5+20</f>
        <v>46348</v>
      </c>
      <c r="B29" s="11" t="str">
        <f aca="false">TEXT(A29,"ddd")</f>
        <v>Sun</v>
      </c>
      <c r="C29" s="12"/>
      <c r="D29" s="12"/>
      <c r="E29" s="12"/>
      <c r="F29" s="12"/>
      <c r="G29" s="12"/>
      <c r="H29" s="12"/>
      <c r="I29" s="12"/>
    </row>
    <row r="30" customFormat="false" ht="15" hidden="false" customHeight="false" outlineLevel="0" collapsed="false">
      <c r="A30" s="10" t="n">
        <f aca="false">$B$5+21</f>
        <v>46349</v>
      </c>
      <c r="B30" s="11" t="str">
        <f aca="false">TEXT(A30,"ddd")</f>
        <v>Mon</v>
      </c>
      <c r="C30" s="12"/>
      <c r="D30" s="12"/>
      <c r="E30" s="12"/>
      <c r="F30" s="12"/>
      <c r="G30" s="12"/>
      <c r="H30" s="12"/>
      <c r="I30" s="12"/>
    </row>
    <row r="31" customFormat="false" ht="15" hidden="false" customHeight="false" outlineLevel="0" collapsed="false">
      <c r="A31" s="10" t="n">
        <f aca="false">$B$5+22</f>
        <v>46350</v>
      </c>
      <c r="B31" s="11" t="str">
        <f aca="false">TEXT(A31,"ddd")</f>
        <v>Tue</v>
      </c>
      <c r="C31" s="12"/>
      <c r="D31" s="12"/>
      <c r="E31" s="12"/>
      <c r="F31" s="12"/>
      <c r="G31" s="12"/>
      <c r="H31" s="12"/>
      <c r="I31" s="12"/>
    </row>
    <row r="32" customFormat="false" ht="15" hidden="false" customHeight="false" outlineLevel="0" collapsed="false">
      <c r="A32" s="10" t="n">
        <f aca="false">$B$5+23</f>
        <v>46351</v>
      </c>
      <c r="B32" s="11" t="str">
        <f aca="false">TEXT(A32,"ddd")</f>
        <v>Wed</v>
      </c>
      <c r="C32" s="12"/>
      <c r="D32" s="12"/>
      <c r="E32" s="12"/>
      <c r="F32" s="12"/>
      <c r="G32" s="12"/>
      <c r="H32" s="12"/>
      <c r="I32" s="12"/>
    </row>
    <row r="33" customFormat="false" ht="15" hidden="false" customHeight="false" outlineLevel="0" collapsed="false">
      <c r="A33" s="10" t="n">
        <f aca="false">$B$5+24</f>
        <v>46352</v>
      </c>
      <c r="B33" s="11" t="str">
        <f aca="false">TEXT(A33,"ddd")</f>
        <v>Thu</v>
      </c>
      <c r="C33" s="12"/>
      <c r="D33" s="12"/>
      <c r="E33" s="12"/>
      <c r="F33" s="12"/>
      <c r="G33" s="12"/>
      <c r="H33" s="12"/>
      <c r="I33" s="12"/>
    </row>
    <row r="34" customFormat="false" ht="15" hidden="false" customHeight="false" outlineLevel="0" collapsed="false">
      <c r="A34" s="10" t="n">
        <f aca="false">$B$5+25</f>
        <v>46353</v>
      </c>
      <c r="B34" s="11" t="str">
        <f aca="false">TEXT(A34,"ddd")</f>
        <v>Fri</v>
      </c>
      <c r="C34" s="12"/>
      <c r="D34" s="12"/>
      <c r="E34" s="12"/>
      <c r="F34" s="12"/>
      <c r="G34" s="12"/>
      <c r="H34" s="12"/>
      <c r="I34" s="12"/>
    </row>
    <row r="35" customFormat="false" ht="15" hidden="false" customHeight="false" outlineLevel="0" collapsed="false">
      <c r="A35" s="10" t="n">
        <f aca="false">$B$5+26</f>
        <v>46354</v>
      </c>
      <c r="B35" s="11" t="str">
        <f aca="false">TEXT(A35,"ddd")</f>
        <v>Sat</v>
      </c>
      <c r="C35" s="12"/>
      <c r="D35" s="12"/>
      <c r="E35" s="12"/>
      <c r="F35" s="12"/>
      <c r="G35" s="12"/>
      <c r="H35" s="12"/>
      <c r="I35" s="12"/>
    </row>
    <row r="36" customFormat="false" ht="15" hidden="false" customHeight="false" outlineLevel="0" collapsed="false">
      <c r="A36" s="10" t="n">
        <f aca="false">$B$5+27</f>
        <v>46355</v>
      </c>
      <c r="B36" s="11" t="str">
        <f aca="false">TEXT(A36,"ddd")</f>
        <v>Sun</v>
      </c>
      <c r="C36" s="12"/>
      <c r="D36" s="12"/>
      <c r="E36" s="12"/>
      <c r="F36" s="12"/>
      <c r="G36" s="12"/>
      <c r="H36" s="12"/>
      <c r="I36" s="12"/>
    </row>
    <row r="37" customFormat="false" ht="15" hidden="false" customHeight="false" outlineLevel="0" collapsed="false">
      <c r="A37" s="10" t="n">
        <f aca="false">$B$5+28</f>
        <v>46356</v>
      </c>
      <c r="B37" s="11" t="str">
        <f aca="false">TEXT(A37,"ddd")</f>
        <v>Mon</v>
      </c>
      <c r="C37" s="12"/>
      <c r="D37" s="12"/>
      <c r="E37" s="12"/>
      <c r="F37" s="12"/>
      <c r="G37" s="12"/>
      <c r="H37" s="12"/>
      <c r="I37" s="12"/>
    </row>
    <row r="38" customFormat="false" ht="15" hidden="false" customHeight="false" outlineLevel="0" collapsed="false">
      <c r="A38" s="10" t="n">
        <f aca="false">$B$5+29</f>
        <v>46357</v>
      </c>
      <c r="B38" s="11" t="str">
        <f aca="false">TEXT(A38,"ddd")</f>
        <v>Tue</v>
      </c>
      <c r="C38" s="12"/>
      <c r="D38" s="12"/>
      <c r="E38" s="12"/>
      <c r="F38" s="12"/>
      <c r="G38" s="12"/>
      <c r="H38" s="12"/>
      <c r="I38" s="1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</row>
    <row r="40" customFormat="false" ht="19.5" hidden="false" customHeight="true" outlineLevel="0" collapsed="false">
      <c r="A40" s="8" t="s">
        <v>47</v>
      </c>
      <c r="B40" s="8"/>
      <c r="C40" s="8"/>
      <c r="D40" s="8"/>
      <c r="E40" s="8"/>
      <c r="F40" s="8"/>
      <c r="G40" s="8"/>
      <c r="H40" s="8"/>
      <c r="I40" s="8"/>
    </row>
    <row r="41" customFormat="false" ht="30" hidden="false" customHeight="true" outlineLevel="0" collapsed="false">
      <c r="A41" s="9" t="s">
        <v>8</v>
      </c>
      <c r="B41" s="9"/>
      <c r="C41" s="9" t="s">
        <v>48</v>
      </c>
      <c r="D41" s="9" t="s">
        <v>49</v>
      </c>
      <c r="E41" s="9" t="s">
        <v>50</v>
      </c>
      <c r="F41" s="9" t="s">
        <v>51</v>
      </c>
      <c r="G41" s="2"/>
      <c r="H41" s="2"/>
      <c r="I41" s="2"/>
    </row>
    <row r="42" customFormat="false" ht="15" hidden="false" customHeight="true" outlineLevel="0" collapsed="false">
      <c r="A42" s="5" t="s">
        <v>15</v>
      </c>
      <c r="B42" s="5"/>
      <c r="C42" s="13" t="n">
        <v>0.25</v>
      </c>
      <c r="D42" s="14" t="n">
        <f aca="false">COUNTIF($C$9:$C$38,A42)</f>
        <v>1</v>
      </c>
      <c r="E42" s="15" t="n">
        <f aca="false">IF(COUNTA($C$9:$C$38)=0,"",D42/COUNTA($C$9:$C$38))</f>
        <v>0.166666666666667</v>
      </c>
      <c r="F42" s="16" t="s">
        <v>52</v>
      </c>
      <c r="G42" s="16"/>
      <c r="H42" s="16"/>
      <c r="I42" s="16"/>
    </row>
    <row r="43" customFormat="false" ht="15" hidden="false" customHeight="true" outlineLevel="0" collapsed="false">
      <c r="A43" s="5" t="s">
        <v>22</v>
      </c>
      <c r="B43" s="5"/>
      <c r="C43" s="13" t="n">
        <v>0.2</v>
      </c>
      <c r="D43" s="14" t="n">
        <f aca="false">COUNTIF($C$9:$C$38,A43)</f>
        <v>1</v>
      </c>
      <c r="E43" s="15" t="n">
        <f aca="false">IF(COUNTA($C$9:$C$38)=0,"",D43/COUNTA($C$9:$C$38))</f>
        <v>0.166666666666667</v>
      </c>
      <c r="F43" s="16" t="s">
        <v>53</v>
      </c>
      <c r="G43" s="16"/>
      <c r="H43" s="16"/>
      <c r="I43" s="16"/>
    </row>
    <row r="44" customFormat="false" ht="15" hidden="false" customHeight="true" outlineLevel="0" collapsed="false">
      <c r="A44" s="5" t="s">
        <v>28</v>
      </c>
      <c r="B44" s="5"/>
      <c r="C44" s="13" t="n">
        <v>0.2</v>
      </c>
      <c r="D44" s="14" t="n">
        <f aca="false">COUNTIF($C$9:$C$38,A44)</f>
        <v>1</v>
      </c>
      <c r="E44" s="15" t="n">
        <f aca="false">IF(COUNTA($C$9:$C$38)=0,"",D44/COUNTA($C$9:$C$38))</f>
        <v>0.166666666666667</v>
      </c>
      <c r="F44" s="16" t="s">
        <v>54</v>
      </c>
      <c r="G44" s="16"/>
      <c r="H44" s="16"/>
      <c r="I44" s="16"/>
    </row>
    <row r="45" customFormat="false" ht="15" hidden="false" customHeight="true" outlineLevel="0" collapsed="false">
      <c r="A45" s="5" t="s">
        <v>34</v>
      </c>
      <c r="B45" s="5"/>
      <c r="C45" s="13" t="n">
        <v>0.15</v>
      </c>
      <c r="D45" s="14" t="n">
        <f aca="false">COUNTIF($C$9:$C$38,A45)</f>
        <v>1</v>
      </c>
      <c r="E45" s="15" t="n">
        <f aca="false">IF(COUNTA($C$9:$C$38)=0,"",D45/COUNTA($C$9:$C$38))</f>
        <v>0.166666666666667</v>
      </c>
      <c r="F45" s="16" t="s">
        <v>55</v>
      </c>
      <c r="G45" s="16"/>
      <c r="H45" s="16"/>
      <c r="I45" s="16"/>
    </row>
    <row r="46" customFormat="false" ht="15" hidden="false" customHeight="true" outlineLevel="0" collapsed="false">
      <c r="A46" s="5" t="s">
        <v>39</v>
      </c>
      <c r="B46" s="5"/>
      <c r="C46" s="13" t="n">
        <v>0.05</v>
      </c>
      <c r="D46" s="14" t="n">
        <f aca="false">COUNTIF($C$9:$C$38,A46)</f>
        <v>1</v>
      </c>
      <c r="E46" s="15" t="n">
        <f aca="false">IF(COUNTA($C$9:$C$38)=0,"",D46/COUNTA($C$9:$C$38))</f>
        <v>0.166666666666667</v>
      </c>
      <c r="F46" s="16" t="s">
        <v>56</v>
      </c>
      <c r="G46" s="16"/>
      <c r="H46" s="16"/>
      <c r="I46" s="16"/>
    </row>
    <row r="47" customFormat="false" ht="15" hidden="false" customHeight="true" outlineLevel="0" collapsed="false">
      <c r="A47" s="5" t="s">
        <v>43</v>
      </c>
      <c r="B47" s="5"/>
      <c r="C47" s="13" t="n">
        <v>0.15</v>
      </c>
      <c r="D47" s="14" t="n">
        <f aca="false">COUNTIF($C$9:$C$38,A47)</f>
        <v>1</v>
      </c>
      <c r="E47" s="15" t="n">
        <f aca="false">IF(COUNTA($C$9:$C$38)=0,"",D47/COUNTA($C$9:$C$38))</f>
        <v>0.166666666666667</v>
      </c>
      <c r="F47" s="16" t="s">
        <v>57</v>
      </c>
      <c r="G47" s="16"/>
      <c r="H47" s="16"/>
      <c r="I47" s="16"/>
    </row>
    <row r="48" customFormat="false" ht="15" hidden="false" customHeight="true" outlineLevel="0" collapsed="false">
      <c r="A48" s="5" t="s">
        <v>58</v>
      </c>
      <c r="B48" s="5"/>
      <c r="C48" s="14" t="n">
        <f aca="false">COUNTA(C9:C38)</f>
        <v>6</v>
      </c>
      <c r="D48" s="2"/>
      <c r="E48" s="2"/>
      <c r="F48" s="2"/>
      <c r="G48" s="2"/>
      <c r="H48" s="2"/>
      <c r="I48" s="2"/>
    </row>
    <row r="49" customFormat="false" ht="15" hidden="false" customHeight="true" outlineLevel="0" collapsed="false">
      <c r="A49" s="5" t="s">
        <v>21</v>
      </c>
      <c r="B49" s="5"/>
      <c r="C49" s="14" t="n">
        <f aca="false">COUNTIF(I9:I38,"Posted")</f>
        <v>2</v>
      </c>
      <c r="D49" s="17" t="s">
        <v>59</v>
      </c>
      <c r="E49" s="2"/>
      <c r="F49" s="2"/>
      <c r="G49" s="2"/>
      <c r="H49" s="2"/>
      <c r="I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</row>
    <row r="51" customFormat="false" ht="15" hidden="false" customHeight="false" outlineLevel="0" collapsed="false">
      <c r="A51" s="18" t="s">
        <v>60</v>
      </c>
      <c r="B51" s="2"/>
      <c r="C51" s="2"/>
      <c r="D51" s="2"/>
      <c r="E51" s="2"/>
      <c r="F51" s="2"/>
      <c r="G51" s="2"/>
      <c r="H51" s="2"/>
      <c r="I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</row>
  </sheetData>
  <mergeCells count="17">
    <mergeCell ref="B5:C5"/>
    <mergeCell ref="A7:I7"/>
    <mergeCell ref="A40:I40"/>
    <mergeCell ref="A42:B42"/>
    <mergeCell ref="F42:I42"/>
    <mergeCell ref="A43:B43"/>
    <mergeCell ref="F43:I43"/>
    <mergeCell ref="A44:B44"/>
    <mergeCell ref="F44:I44"/>
    <mergeCell ref="A45:B45"/>
    <mergeCell ref="F45:I45"/>
    <mergeCell ref="A46:B46"/>
    <mergeCell ref="F46:I46"/>
    <mergeCell ref="A47:B47"/>
    <mergeCell ref="F47:I47"/>
    <mergeCell ref="A48:B48"/>
    <mergeCell ref="A49:B49"/>
  </mergeCells>
  <dataValidations count="5">
    <dataValidation allowBlank="true" errorStyle="stop" operator="between" showDropDown="false" showErrorMessage="false" showInputMessage="false" sqref="C9:C38" type="list">
      <formula1>"Proof,Behind the scenes,Menu spotlight,Client story,Team,Offer"</formula1>
      <formula2>0</formula2>
    </dataValidation>
    <dataValidation allowBlank="true" errorStyle="stop" operator="between" showDropDown="false" showErrorMessage="false" showInputMessage="false" sqref="D9:D38" type="list">
      <formula1>"Corporate,Private,Both,Partners"</formula1>
      <formula2>0</formula2>
    </dataValidation>
    <dataValidation allowBlank="true" errorStyle="stop" operator="between" showDropDown="false" showErrorMessage="false" showInputMessage="false" sqref="E9:E38" type="list">
      <formula1>"Single photo,Photo carousel,Short video,Photo + quote,Graphic,Story,Text post"</formula1>
      <formula2>0</formula2>
    </dataValidation>
    <dataValidation allowBlank="true" errorStyle="stop" operator="between" showDropDown="false" showErrorMessage="false" showInputMessage="false" sqref="H9:H38" type="list">
      <formula1>"Facebook,Instagram,LinkedIn,Google Business,Nextdoor,TikTok"</formula1>
      <formula2>0</formula2>
    </dataValidation>
    <dataValidation allowBlank="true" errorStyle="stop" operator="between" showDropDown="false" showErrorMessage="false" showInputMessage="false" sqref="I9:I38" type="list">
      <formula1>"Idea,Drafted,Scheduled,Posted,Skipped"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2"/>
    <col collapsed="false" customWidth="true" hidden="false" outlineLevel="0" max="3" min="3" style="0" width="14"/>
  </cols>
  <sheetData>
    <row r="1" customFormat="false" ht="27.75" hidden="false" customHeight="true" outlineLevel="0" collapsed="false">
      <c r="A1" s="1" t="s">
        <v>61</v>
      </c>
      <c r="B1" s="2"/>
      <c r="C1" s="2"/>
    </row>
    <row r="2" customFormat="false" ht="15" hidden="false" customHeight="false" outlineLevel="0" collapsed="false">
      <c r="A2" s="3" t="s">
        <v>62</v>
      </c>
      <c r="B2" s="2"/>
      <c r="C2" s="2"/>
    </row>
    <row r="3" customFormat="false" ht="15" hidden="false" customHeight="false" outlineLevel="0" collapsed="false">
      <c r="A3" s="4" t="s">
        <v>63</v>
      </c>
      <c r="B3" s="2"/>
      <c r="C3" s="2"/>
    </row>
    <row r="4" customFormat="false" ht="15" hidden="false" customHeight="false" outlineLevel="0" collapsed="false">
      <c r="A4" s="2"/>
      <c r="B4" s="2"/>
      <c r="C4" s="2"/>
    </row>
    <row r="5" customFormat="false" ht="30" hidden="false" customHeight="true" outlineLevel="0" collapsed="false">
      <c r="A5" s="9" t="s">
        <v>8</v>
      </c>
      <c r="B5" s="9" t="s">
        <v>42</v>
      </c>
      <c r="C5" s="9" t="s">
        <v>64</v>
      </c>
    </row>
    <row r="6" customFormat="false" ht="15" hidden="false" customHeight="false" outlineLevel="0" collapsed="false">
      <c r="A6" s="5" t="s">
        <v>15</v>
      </c>
      <c r="B6" s="11" t="s">
        <v>65</v>
      </c>
      <c r="C6" s="19" t="s">
        <v>16</v>
      </c>
    </row>
    <row r="7" customFormat="false" ht="15" hidden="false" customHeight="false" outlineLevel="0" collapsed="false">
      <c r="A7" s="5" t="s">
        <v>15</v>
      </c>
      <c r="B7" s="11" t="s">
        <v>66</v>
      </c>
      <c r="C7" s="19" t="s">
        <v>16</v>
      </c>
    </row>
    <row r="8" customFormat="false" ht="15" hidden="false" customHeight="false" outlineLevel="0" collapsed="false">
      <c r="A8" s="5" t="s">
        <v>15</v>
      </c>
      <c r="B8" s="11" t="s">
        <v>67</v>
      </c>
      <c r="C8" s="19" t="s">
        <v>23</v>
      </c>
    </row>
    <row r="9" customFormat="false" ht="15" hidden="false" customHeight="false" outlineLevel="0" collapsed="false">
      <c r="A9" s="5" t="s">
        <v>15</v>
      </c>
      <c r="B9" s="11" t="s">
        <v>68</v>
      </c>
      <c r="C9" s="19" t="s">
        <v>23</v>
      </c>
    </row>
    <row r="10" customFormat="false" ht="15" hidden="false" customHeight="false" outlineLevel="0" collapsed="false">
      <c r="A10" s="5" t="s">
        <v>15</v>
      </c>
      <c r="B10" s="11" t="s">
        <v>69</v>
      </c>
      <c r="C10" s="19" t="s">
        <v>16</v>
      </c>
    </row>
    <row r="11" customFormat="false" ht="15" hidden="false" customHeight="false" outlineLevel="0" collapsed="false">
      <c r="A11" s="5" t="s">
        <v>15</v>
      </c>
      <c r="B11" s="11" t="s">
        <v>70</v>
      </c>
      <c r="C11" s="19" t="s">
        <v>23</v>
      </c>
    </row>
    <row r="12" customFormat="false" ht="15" hidden="false" customHeight="false" outlineLevel="0" collapsed="false">
      <c r="A12" s="5" t="s">
        <v>15</v>
      </c>
      <c r="B12" s="11" t="s">
        <v>71</v>
      </c>
      <c r="C12" s="19" t="s">
        <v>16</v>
      </c>
    </row>
    <row r="13" customFormat="false" ht="15" hidden="false" customHeight="false" outlineLevel="0" collapsed="false">
      <c r="A13" s="5" t="s">
        <v>15</v>
      </c>
      <c r="B13" s="11" t="s">
        <v>72</v>
      </c>
      <c r="C13" s="19" t="s">
        <v>16</v>
      </c>
    </row>
    <row r="14" customFormat="false" ht="15" hidden="false" customHeight="false" outlineLevel="0" collapsed="false">
      <c r="A14" s="5" t="s">
        <v>15</v>
      </c>
      <c r="B14" s="11" t="s">
        <v>73</v>
      </c>
      <c r="C14" s="19" t="s">
        <v>23</v>
      </c>
    </row>
    <row r="15" customFormat="false" ht="15" hidden="false" customHeight="false" outlineLevel="0" collapsed="false">
      <c r="A15" s="5" t="s">
        <v>15</v>
      </c>
      <c r="B15" s="11" t="s">
        <v>74</v>
      </c>
      <c r="C15" s="19" t="s">
        <v>16</v>
      </c>
    </row>
    <row r="16" customFormat="false" ht="15" hidden="false" customHeight="false" outlineLevel="0" collapsed="false">
      <c r="A16" s="5" t="s">
        <v>22</v>
      </c>
      <c r="B16" s="11" t="s">
        <v>75</v>
      </c>
      <c r="C16" s="19" t="s">
        <v>23</v>
      </c>
    </row>
    <row r="17" customFormat="false" ht="15" hidden="false" customHeight="false" outlineLevel="0" collapsed="false">
      <c r="A17" s="5" t="s">
        <v>22</v>
      </c>
      <c r="B17" s="11" t="s">
        <v>76</v>
      </c>
      <c r="C17" s="19" t="s">
        <v>23</v>
      </c>
    </row>
    <row r="18" customFormat="false" ht="15" hidden="false" customHeight="false" outlineLevel="0" collapsed="false">
      <c r="A18" s="5" t="s">
        <v>22</v>
      </c>
      <c r="B18" s="11" t="s">
        <v>77</v>
      </c>
      <c r="C18" s="19" t="s">
        <v>35</v>
      </c>
    </row>
    <row r="19" customFormat="false" ht="15" hidden="false" customHeight="false" outlineLevel="0" collapsed="false">
      <c r="A19" s="5" t="s">
        <v>22</v>
      </c>
      <c r="B19" s="11" t="s">
        <v>78</v>
      </c>
      <c r="C19" s="19" t="s">
        <v>23</v>
      </c>
    </row>
    <row r="20" customFormat="false" ht="15" hidden="false" customHeight="false" outlineLevel="0" collapsed="false">
      <c r="A20" s="5" t="s">
        <v>22</v>
      </c>
      <c r="B20" s="11" t="s">
        <v>79</v>
      </c>
      <c r="C20" s="19" t="s">
        <v>23</v>
      </c>
    </row>
    <row r="21" customFormat="false" ht="15" hidden="false" customHeight="false" outlineLevel="0" collapsed="false">
      <c r="A21" s="5" t="s">
        <v>22</v>
      </c>
      <c r="B21" s="11" t="s">
        <v>80</v>
      </c>
      <c r="C21" s="19" t="s">
        <v>23</v>
      </c>
    </row>
    <row r="22" customFormat="false" ht="15" hidden="false" customHeight="false" outlineLevel="0" collapsed="false">
      <c r="A22" s="5" t="s">
        <v>22</v>
      </c>
      <c r="B22" s="11" t="s">
        <v>81</v>
      </c>
      <c r="C22" s="19" t="s">
        <v>23</v>
      </c>
    </row>
    <row r="23" customFormat="false" ht="15" hidden="false" customHeight="false" outlineLevel="0" collapsed="false">
      <c r="A23" s="5" t="s">
        <v>22</v>
      </c>
      <c r="B23" s="11" t="s">
        <v>82</v>
      </c>
      <c r="C23" s="19" t="s">
        <v>16</v>
      </c>
    </row>
    <row r="24" customFormat="false" ht="15" hidden="false" customHeight="false" outlineLevel="0" collapsed="false">
      <c r="A24" s="5" t="s">
        <v>22</v>
      </c>
      <c r="B24" s="11" t="s">
        <v>83</v>
      </c>
      <c r="C24" s="19" t="s">
        <v>23</v>
      </c>
    </row>
    <row r="25" customFormat="false" ht="15" hidden="false" customHeight="false" outlineLevel="0" collapsed="false">
      <c r="A25" s="5" t="s">
        <v>22</v>
      </c>
      <c r="B25" s="11" t="s">
        <v>84</v>
      </c>
      <c r="C25" s="19" t="s">
        <v>23</v>
      </c>
    </row>
    <row r="26" customFormat="false" ht="15" hidden="false" customHeight="false" outlineLevel="0" collapsed="false">
      <c r="A26" s="5" t="s">
        <v>28</v>
      </c>
      <c r="B26" s="11" t="s">
        <v>85</v>
      </c>
      <c r="C26" s="19" t="s">
        <v>23</v>
      </c>
    </row>
    <row r="27" customFormat="false" ht="15" hidden="false" customHeight="false" outlineLevel="0" collapsed="false">
      <c r="A27" s="5" t="s">
        <v>28</v>
      </c>
      <c r="B27" s="11" t="s">
        <v>86</v>
      </c>
      <c r="C27" s="19" t="s">
        <v>16</v>
      </c>
    </row>
    <row r="28" customFormat="false" ht="15" hidden="false" customHeight="false" outlineLevel="0" collapsed="false">
      <c r="A28" s="5" t="s">
        <v>28</v>
      </c>
      <c r="B28" s="11" t="s">
        <v>87</v>
      </c>
      <c r="C28" s="19" t="s">
        <v>23</v>
      </c>
    </row>
    <row r="29" customFormat="false" ht="15" hidden="false" customHeight="false" outlineLevel="0" collapsed="false">
      <c r="A29" s="5" t="s">
        <v>28</v>
      </c>
      <c r="B29" s="11" t="s">
        <v>88</v>
      </c>
      <c r="C29" s="19" t="s">
        <v>23</v>
      </c>
    </row>
    <row r="30" customFormat="false" ht="15" hidden="false" customHeight="false" outlineLevel="0" collapsed="false">
      <c r="A30" s="5" t="s">
        <v>28</v>
      </c>
      <c r="B30" s="11" t="s">
        <v>89</v>
      </c>
      <c r="C30" s="19" t="s">
        <v>16</v>
      </c>
    </row>
    <row r="31" customFormat="false" ht="15" hidden="false" customHeight="false" outlineLevel="0" collapsed="false">
      <c r="A31" s="5" t="s">
        <v>28</v>
      </c>
      <c r="B31" s="11" t="s">
        <v>90</v>
      </c>
      <c r="C31" s="19" t="s">
        <v>16</v>
      </c>
    </row>
    <row r="32" customFormat="false" ht="15" hidden="false" customHeight="false" outlineLevel="0" collapsed="false">
      <c r="A32" s="5" t="s">
        <v>28</v>
      </c>
      <c r="B32" s="11" t="s">
        <v>91</v>
      </c>
      <c r="C32" s="19" t="s">
        <v>35</v>
      </c>
    </row>
    <row r="33" customFormat="false" ht="15" hidden="false" customHeight="false" outlineLevel="0" collapsed="false">
      <c r="A33" s="5" t="s">
        <v>28</v>
      </c>
      <c r="B33" s="11" t="s">
        <v>92</v>
      </c>
      <c r="C33" s="19" t="s">
        <v>35</v>
      </c>
    </row>
    <row r="34" customFormat="false" ht="15" hidden="false" customHeight="false" outlineLevel="0" collapsed="false">
      <c r="A34" s="5" t="s">
        <v>28</v>
      </c>
      <c r="B34" s="11" t="s">
        <v>93</v>
      </c>
      <c r="C34" s="19" t="s">
        <v>16</v>
      </c>
    </row>
    <row r="35" customFormat="false" ht="15" hidden="false" customHeight="false" outlineLevel="0" collapsed="false">
      <c r="A35" s="5" t="s">
        <v>28</v>
      </c>
      <c r="B35" s="11" t="s">
        <v>94</v>
      </c>
      <c r="C35" s="19" t="s">
        <v>35</v>
      </c>
    </row>
    <row r="36" customFormat="false" ht="15" hidden="false" customHeight="false" outlineLevel="0" collapsed="false">
      <c r="A36" s="5" t="s">
        <v>34</v>
      </c>
      <c r="B36" s="11" t="s">
        <v>95</v>
      </c>
      <c r="C36" s="19" t="s">
        <v>35</v>
      </c>
    </row>
    <row r="37" customFormat="false" ht="15" hidden="false" customHeight="false" outlineLevel="0" collapsed="false">
      <c r="A37" s="5" t="s">
        <v>34</v>
      </c>
      <c r="B37" s="11" t="s">
        <v>96</v>
      </c>
      <c r="C37" s="19" t="s">
        <v>16</v>
      </c>
    </row>
    <row r="38" customFormat="false" ht="15" hidden="false" customHeight="false" outlineLevel="0" collapsed="false">
      <c r="A38" s="5" t="s">
        <v>34</v>
      </c>
      <c r="B38" s="11" t="s">
        <v>97</v>
      </c>
      <c r="C38" s="19" t="s">
        <v>35</v>
      </c>
    </row>
    <row r="39" customFormat="false" ht="15" hidden="false" customHeight="false" outlineLevel="0" collapsed="false">
      <c r="A39" s="5" t="s">
        <v>34</v>
      </c>
      <c r="B39" s="11" t="s">
        <v>98</v>
      </c>
      <c r="C39" s="19" t="s">
        <v>16</v>
      </c>
    </row>
    <row r="40" customFormat="false" ht="15" hidden="false" customHeight="false" outlineLevel="0" collapsed="false">
      <c r="A40" s="5" t="s">
        <v>34</v>
      </c>
      <c r="B40" s="11" t="s">
        <v>99</v>
      </c>
      <c r="C40" s="19" t="s">
        <v>100</v>
      </c>
    </row>
    <row r="41" customFormat="false" ht="15" hidden="false" customHeight="false" outlineLevel="0" collapsed="false">
      <c r="A41" s="5" t="s">
        <v>34</v>
      </c>
      <c r="B41" s="11" t="s">
        <v>101</v>
      </c>
      <c r="C41" s="19" t="s">
        <v>23</v>
      </c>
    </row>
    <row r="42" customFormat="false" ht="15" hidden="false" customHeight="false" outlineLevel="0" collapsed="false">
      <c r="A42" s="5" t="s">
        <v>34</v>
      </c>
      <c r="B42" s="11" t="s">
        <v>102</v>
      </c>
      <c r="C42" s="19" t="s">
        <v>23</v>
      </c>
    </row>
    <row r="43" customFormat="false" ht="15" hidden="false" customHeight="false" outlineLevel="0" collapsed="false">
      <c r="A43" s="5" t="s">
        <v>34</v>
      </c>
      <c r="B43" s="11" t="s">
        <v>103</v>
      </c>
      <c r="C43" s="19" t="s">
        <v>16</v>
      </c>
    </row>
    <row r="44" customFormat="false" ht="15" hidden="false" customHeight="false" outlineLevel="0" collapsed="false">
      <c r="A44" s="5" t="s">
        <v>34</v>
      </c>
      <c r="B44" s="11" t="s">
        <v>104</v>
      </c>
      <c r="C44" s="19" t="s">
        <v>35</v>
      </c>
    </row>
    <row r="45" customFormat="false" ht="15" hidden="false" customHeight="false" outlineLevel="0" collapsed="false">
      <c r="A45" s="5" t="s">
        <v>34</v>
      </c>
      <c r="B45" s="11" t="s">
        <v>105</v>
      </c>
      <c r="C45" s="19" t="s">
        <v>23</v>
      </c>
    </row>
    <row r="46" customFormat="false" ht="15" hidden="false" customHeight="false" outlineLevel="0" collapsed="false">
      <c r="A46" s="5" t="s">
        <v>39</v>
      </c>
      <c r="B46" s="11" t="s">
        <v>106</v>
      </c>
      <c r="C46" s="19" t="s">
        <v>23</v>
      </c>
    </row>
    <row r="47" customFormat="false" ht="15" hidden="false" customHeight="false" outlineLevel="0" collapsed="false">
      <c r="A47" s="5" t="s">
        <v>39</v>
      </c>
      <c r="B47" s="11" t="s">
        <v>107</v>
      </c>
      <c r="C47" s="19" t="s">
        <v>23</v>
      </c>
    </row>
    <row r="48" customFormat="false" ht="15" hidden="false" customHeight="false" outlineLevel="0" collapsed="false">
      <c r="A48" s="5" t="s">
        <v>39</v>
      </c>
      <c r="B48" s="11" t="s">
        <v>108</v>
      </c>
      <c r="C48" s="19" t="s">
        <v>23</v>
      </c>
    </row>
    <row r="49" customFormat="false" ht="15" hidden="false" customHeight="false" outlineLevel="0" collapsed="false">
      <c r="A49" s="5" t="s">
        <v>39</v>
      </c>
      <c r="B49" s="11" t="s">
        <v>109</v>
      </c>
      <c r="C49" s="19" t="s">
        <v>23</v>
      </c>
    </row>
    <row r="50" customFormat="false" ht="15" hidden="false" customHeight="false" outlineLevel="0" collapsed="false">
      <c r="A50" s="5" t="s">
        <v>39</v>
      </c>
      <c r="B50" s="11" t="s">
        <v>110</v>
      </c>
      <c r="C50" s="19" t="s">
        <v>23</v>
      </c>
    </row>
    <row r="51" customFormat="false" ht="15" hidden="false" customHeight="false" outlineLevel="0" collapsed="false">
      <c r="A51" s="5" t="s">
        <v>39</v>
      </c>
      <c r="B51" s="11" t="s">
        <v>111</v>
      </c>
      <c r="C51" s="19" t="s">
        <v>16</v>
      </c>
    </row>
    <row r="52" customFormat="false" ht="15" hidden="false" customHeight="false" outlineLevel="0" collapsed="false">
      <c r="A52" s="5" t="s">
        <v>39</v>
      </c>
      <c r="B52" s="11" t="s">
        <v>112</v>
      </c>
      <c r="C52" s="19" t="s">
        <v>23</v>
      </c>
    </row>
    <row r="53" customFormat="false" ht="15" hidden="false" customHeight="false" outlineLevel="0" collapsed="false">
      <c r="A53" s="5" t="s">
        <v>39</v>
      </c>
      <c r="B53" s="11" t="s">
        <v>113</v>
      </c>
      <c r="C53" s="19" t="s">
        <v>23</v>
      </c>
    </row>
    <row r="54" customFormat="false" ht="15" hidden="false" customHeight="false" outlineLevel="0" collapsed="false">
      <c r="A54" s="5" t="s">
        <v>39</v>
      </c>
      <c r="B54" s="11" t="s">
        <v>114</v>
      </c>
      <c r="C54" s="19" t="s">
        <v>23</v>
      </c>
    </row>
    <row r="55" customFormat="false" ht="15" hidden="false" customHeight="false" outlineLevel="0" collapsed="false">
      <c r="A55" s="5" t="s">
        <v>39</v>
      </c>
      <c r="B55" s="11" t="s">
        <v>115</v>
      </c>
      <c r="C55" s="19" t="s">
        <v>23</v>
      </c>
    </row>
    <row r="56" customFormat="false" ht="15" hidden="false" customHeight="false" outlineLevel="0" collapsed="false">
      <c r="A56" s="5" t="s">
        <v>43</v>
      </c>
      <c r="B56" s="11" t="s">
        <v>116</v>
      </c>
      <c r="C56" s="19" t="s">
        <v>16</v>
      </c>
    </row>
    <row r="57" customFormat="false" ht="15" hidden="false" customHeight="false" outlineLevel="0" collapsed="false">
      <c r="A57" s="5" t="s">
        <v>43</v>
      </c>
      <c r="B57" s="11" t="s">
        <v>117</v>
      </c>
      <c r="C57" s="19" t="s">
        <v>35</v>
      </c>
    </row>
    <row r="58" customFormat="false" ht="15" hidden="false" customHeight="false" outlineLevel="0" collapsed="false">
      <c r="A58" s="5" t="s">
        <v>43</v>
      </c>
      <c r="B58" s="11" t="s">
        <v>118</v>
      </c>
      <c r="C58" s="19" t="s">
        <v>16</v>
      </c>
    </row>
    <row r="59" customFormat="false" ht="15" hidden="false" customHeight="false" outlineLevel="0" collapsed="false">
      <c r="A59" s="5" t="s">
        <v>43</v>
      </c>
      <c r="B59" s="11" t="s">
        <v>119</v>
      </c>
      <c r="C59" s="19" t="s">
        <v>35</v>
      </c>
    </row>
    <row r="60" customFormat="false" ht="15" hidden="false" customHeight="false" outlineLevel="0" collapsed="false">
      <c r="A60" s="5" t="s">
        <v>43</v>
      </c>
      <c r="B60" s="11" t="s">
        <v>120</v>
      </c>
      <c r="C60" s="19" t="s">
        <v>16</v>
      </c>
    </row>
    <row r="61" customFormat="false" ht="15" hidden="false" customHeight="false" outlineLevel="0" collapsed="false">
      <c r="A61" s="5" t="s">
        <v>43</v>
      </c>
      <c r="B61" s="11" t="s">
        <v>121</v>
      </c>
      <c r="C61" s="19" t="s">
        <v>23</v>
      </c>
    </row>
    <row r="62" customFormat="false" ht="15" hidden="false" customHeight="false" outlineLevel="0" collapsed="false">
      <c r="A62" s="5" t="s">
        <v>43</v>
      </c>
      <c r="B62" s="11" t="s">
        <v>122</v>
      </c>
      <c r="C62" s="19" t="s">
        <v>23</v>
      </c>
    </row>
    <row r="63" customFormat="false" ht="15" hidden="false" customHeight="false" outlineLevel="0" collapsed="false">
      <c r="A63" s="5" t="s">
        <v>43</v>
      </c>
      <c r="B63" s="11" t="s">
        <v>123</v>
      </c>
      <c r="C63" s="19" t="s">
        <v>23</v>
      </c>
    </row>
    <row r="64" customFormat="false" ht="15" hidden="false" customHeight="false" outlineLevel="0" collapsed="false">
      <c r="A64" s="5" t="s">
        <v>43</v>
      </c>
      <c r="B64" s="11" t="s">
        <v>124</v>
      </c>
      <c r="C64" s="19" t="s">
        <v>100</v>
      </c>
    </row>
    <row r="65" customFormat="false" ht="15" hidden="false" customHeight="false" outlineLevel="0" collapsed="false">
      <c r="A65" s="5" t="s">
        <v>43</v>
      </c>
      <c r="B65" s="11" t="s">
        <v>125</v>
      </c>
      <c r="C65" s="19" t="s">
        <v>16</v>
      </c>
    </row>
    <row r="66" customFormat="false" ht="15" hidden="false" customHeight="false" outlineLevel="0" collapsed="false">
      <c r="A66" s="2"/>
      <c r="B66" s="2"/>
      <c r="C66" s="2"/>
    </row>
    <row r="67" customFormat="false" ht="15" hidden="false" customHeight="false" outlineLevel="0" collapsed="false">
      <c r="A67" s="18" t="s">
        <v>60</v>
      </c>
      <c r="B67" s="2"/>
      <c r="C67" s="2"/>
    </row>
    <row r="68" customFormat="false" ht="15" hidden="false" customHeight="false" outlineLevel="0" collapsed="false">
      <c r="A68" s="2"/>
      <c r="B68" s="2"/>
      <c r="C68" s="2"/>
    </row>
    <row r="69" customFormat="false" ht="15" hidden="false" customHeight="false" outlineLevel="0" collapsed="false">
      <c r="A69" s="2"/>
      <c r="B69" s="2"/>
      <c r="C69" s="2"/>
    </row>
    <row r="70" customFormat="false" ht="15" hidden="false" customHeight="false" outlineLevel="0" collapsed="false">
      <c r="A70" s="2"/>
      <c r="B70" s="2"/>
      <c r="C70" s="2"/>
    </row>
    <row r="71" customFormat="false" ht="15" hidden="false" customHeight="false" outlineLevel="0" collapsed="false">
      <c r="A71" s="2"/>
      <c r="B71" s="2"/>
      <c r="C71" s="2"/>
    </row>
    <row r="72" customFormat="false" ht="15" hidden="false" customHeight="false" outlineLevel="0" collapsed="false">
      <c r="A72" s="2"/>
      <c r="B72" s="2"/>
      <c r="C72" s="2"/>
    </row>
    <row r="73" customFormat="false" ht="15" hidden="false" customHeight="false" outlineLevel="0" collapsed="false">
      <c r="A73" s="2"/>
      <c r="B73" s="2"/>
      <c r="C73" s="2"/>
    </row>
    <row r="74" customFormat="false" ht="15" hidden="false" customHeight="false" outlineLevel="0" collapsed="false">
      <c r="A74" s="2"/>
      <c r="B74" s="2"/>
      <c r="C74" s="2"/>
    </row>
    <row r="75" customFormat="false" ht="15" hidden="false" customHeight="false" outlineLevel="0" collapsed="false">
      <c r="A75" s="2"/>
      <c r="B75" s="2"/>
      <c r="C75" s="2"/>
    </row>
    <row r="76" customFormat="false" ht="15" hidden="false" customHeight="false" outlineLevel="0" collapsed="false">
      <c r="A76" s="2"/>
      <c r="B76" s="2"/>
      <c r="C76" s="2"/>
    </row>
    <row r="77" customFormat="false" ht="15" hidden="false" customHeight="false" outlineLevel="0" collapsed="false">
      <c r="A77" s="2"/>
      <c r="B77" s="2"/>
      <c r="C77" s="2"/>
    </row>
    <row r="78" customFormat="false" ht="15" hidden="false" customHeight="false" outlineLevel="0" collapsed="false">
      <c r="A78" s="2"/>
      <c r="B78" s="2"/>
      <c r="C78" s="2"/>
    </row>
    <row r="79" customFormat="false" ht="15" hidden="false" customHeight="false" outlineLevel="0" collapsed="false">
      <c r="A79" s="2"/>
      <c r="B79" s="2"/>
      <c r="C79" s="2"/>
    </row>
    <row r="80" customFormat="false" ht="15" hidden="false" customHeight="false" outlineLevel="0" collapsed="false">
      <c r="A80" s="2"/>
      <c r="B80" s="2"/>
      <c r="C80" s="2"/>
    </row>
    <row r="81" customFormat="false" ht="15" hidden="false" customHeight="false" outlineLevel="0" collapsed="false">
      <c r="A81" s="2"/>
      <c r="B81" s="2"/>
      <c r="C81" s="2"/>
    </row>
    <row r="82" customFormat="false" ht="15" hidden="false" customHeight="false" outlineLevel="0" collapsed="false">
      <c r="A82" s="2"/>
      <c r="B82" s="2"/>
      <c r="C82" s="2"/>
    </row>
    <row r="83" customFormat="false" ht="15" hidden="false" customHeight="false" outlineLevel="0" collapsed="false">
      <c r="A83" s="2"/>
      <c r="B83" s="2"/>
      <c r="C83" s="2"/>
    </row>
    <row r="84" customFormat="false" ht="15" hidden="false" customHeight="false" outlineLevel="0" collapsed="false">
      <c r="A84" s="2"/>
      <c r="B84" s="2"/>
      <c r="C84" s="2"/>
    </row>
    <row r="85" customFormat="false" ht="15" hidden="false" customHeight="false" outlineLevel="0" collapsed="false">
      <c r="A85" s="2"/>
      <c r="B85" s="2"/>
      <c r="C85" s="2"/>
    </row>
    <row r="86" customFormat="false" ht="15" hidden="false" customHeight="false" outlineLevel="0" collapsed="false">
      <c r="A86" s="2"/>
      <c r="B86" s="2"/>
      <c r="C86" s="2"/>
    </row>
    <row r="87" customFormat="false" ht="15" hidden="false" customHeight="false" outlineLevel="0" collapsed="false">
      <c r="A87" s="2"/>
      <c r="B87" s="2"/>
      <c r="C87" s="2"/>
    </row>
    <row r="88" customFormat="false" ht="15" hidden="false" customHeight="false" outlineLevel="0" collapsed="false">
      <c r="A88" s="2"/>
      <c r="B88" s="2"/>
      <c r="C88" s="2"/>
    </row>
    <row r="89" customFormat="false" ht="15" hidden="false" customHeight="false" outlineLevel="0" collapsed="false">
      <c r="A89" s="2"/>
      <c r="B89" s="2"/>
      <c r="C89" s="2"/>
    </row>
    <row r="90" customFormat="false" ht="15" hidden="false" customHeight="false" outlineLevel="0" collapsed="false">
      <c r="A90" s="2"/>
      <c r="B90" s="2"/>
      <c r="C90" s="2"/>
    </row>
    <row r="91" customFormat="false" ht="15" hidden="false" customHeight="false" outlineLevel="0" collapsed="false">
      <c r="A91" s="2"/>
      <c r="B91" s="2"/>
      <c r="C91" s="2"/>
    </row>
    <row r="92" customFormat="false" ht="15" hidden="false" customHeight="false" outlineLevel="0" collapsed="false">
      <c r="A92" s="2"/>
      <c r="B92" s="2"/>
      <c r="C92" s="2"/>
    </row>
    <row r="93" customFormat="false" ht="15" hidden="false" customHeight="false" outlineLevel="0" collapsed="false">
      <c r="A93" s="2"/>
      <c r="B93" s="2"/>
      <c r="C93" s="2"/>
    </row>
    <row r="94" customFormat="false" ht="15" hidden="false" customHeight="false" outlineLevel="0" collapsed="false">
      <c r="A94" s="2"/>
      <c r="B94" s="2"/>
      <c r="C94" s="2"/>
    </row>
    <row r="95" customFormat="false" ht="15" hidden="false" customHeight="false" outlineLevel="0" collapsed="false">
      <c r="A95" s="2"/>
      <c r="B95" s="2"/>
      <c r="C95" s="2"/>
    </row>
    <row r="96" customFormat="false" ht="15" hidden="false" customHeight="false" outlineLevel="0" collapsed="false">
      <c r="A96" s="2"/>
      <c r="B96" s="2"/>
      <c r="C96" s="2"/>
    </row>
    <row r="97" customFormat="false" ht="15" hidden="false" customHeight="false" outlineLevel="0" collapsed="false">
      <c r="A97" s="2"/>
      <c r="B97" s="2"/>
      <c r="C97" s="2"/>
    </row>
    <row r="98" customFormat="false" ht="15" hidden="false" customHeight="false" outlineLevel="0" collapsed="false">
      <c r="A98" s="2"/>
      <c r="B98" s="2"/>
      <c r="C98" s="2"/>
    </row>
    <row r="99" customFormat="false" ht="15" hidden="false" customHeight="false" outlineLevel="0" collapsed="false">
      <c r="A99" s="2"/>
      <c r="B99" s="2"/>
      <c r="C99" s="2"/>
    </row>
    <row r="100" customFormat="false" ht="15" hidden="false" customHeight="false" outlineLevel="0" collapsed="false">
      <c r="A100" s="2"/>
      <c r="B100" s="2"/>
      <c r="C100" s="2"/>
    </row>
    <row r="101" customFormat="false" ht="15" hidden="false" customHeight="false" outlineLevel="0" collapsed="false">
      <c r="A101" s="2"/>
      <c r="B101" s="2"/>
      <c r="C101" s="2"/>
    </row>
    <row r="102" customFormat="false" ht="15" hidden="false" customHeight="false" outlineLevel="0" collapsed="false">
      <c r="A102" s="2"/>
      <c r="B102" s="2"/>
      <c r="C102" s="2"/>
    </row>
    <row r="103" customFormat="false" ht="15" hidden="false" customHeight="false" outlineLevel="0" collapsed="false">
      <c r="A103" s="2"/>
      <c r="B103" s="2"/>
      <c r="C103" s="2"/>
    </row>
    <row r="104" customFormat="false" ht="15" hidden="false" customHeight="false" outlineLevel="0" collapsed="false">
      <c r="A104" s="2"/>
      <c r="B104" s="2"/>
      <c r="C104" s="2"/>
    </row>
    <row r="105" customFormat="false" ht="15" hidden="false" customHeight="false" outlineLevel="0" collapsed="false">
      <c r="A105" s="2"/>
      <c r="B105" s="2"/>
      <c r="C105" s="2"/>
    </row>
    <row r="106" customFormat="false" ht="15" hidden="false" customHeight="false" outlineLevel="0" collapsed="false">
      <c r="A106" s="2"/>
      <c r="B106" s="2"/>
      <c r="C106" s="2"/>
    </row>
    <row r="107" customFormat="false" ht="15" hidden="false" customHeight="false" outlineLevel="0" collapsed="false">
      <c r="A107" s="2"/>
      <c r="B107" s="2"/>
      <c r="C107" s="2"/>
    </row>
    <row r="108" customFormat="false" ht="15" hidden="false" customHeight="false" outlineLevel="0" collapsed="false">
      <c r="A108" s="2"/>
      <c r="B108" s="2"/>
      <c r="C108" s="2"/>
    </row>
    <row r="109" customFormat="false" ht="15" hidden="false" customHeight="false" outlineLevel="0" collapsed="false">
      <c r="A109" s="2"/>
      <c r="B109" s="2"/>
      <c r="C109" s="2"/>
    </row>
    <row r="110" customFormat="false" ht="15" hidden="false" customHeight="false" outlineLevel="0" collapsed="false">
      <c r="A110" s="2"/>
      <c r="B110" s="2"/>
      <c r="C110" s="2"/>
    </row>
    <row r="111" customFormat="false" ht="15" hidden="false" customHeight="false" outlineLevel="0" collapsed="false">
      <c r="A111" s="2"/>
      <c r="B111" s="2"/>
      <c r="C111" s="2"/>
    </row>
    <row r="112" customFormat="false" ht="15" hidden="false" customHeight="false" outlineLevel="0" collapsed="false">
      <c r="A112" s="2"/>
      <c r="B112" s="2"/>
      <c r="C112" s="2"/>
    </row>
    <row r="113" customFormat="false" ht="15" hidden="false" customHeight="false" outlineLevel="0" collapsed="false">
      <c r="A113" s="2"/>
      <c r="B113" s="2"/>
      <c r="C113" s="2"/>
    </row>
    <row r="114" customFormat="false" ht="15" hidden="false" customHeight="false" outlineLevel="0" collapsed="false">
      <c r="A114" s="2"/>
      <c r="B114" s="2"/>
      <c r="C114" s="2"/>
    </row>
    <row r="115" customFormat="false" ht="15" hidden="false" customHeight="false" outlineLevel="0" collapsed="false">
      <c r="A115" s="2"/>
      <c r="B115" s="2"/>
      <c r="C115" s="2"/>
    </row>
    <row r="116" customFormat="false" ht="15" hidden="false" customHeight="false" outlineLevel="0" collapsed="false">
      <c r="A116" s="2"/>
      <c r="B116" s="2"/>
      <c r="C116" s="2"/>
    </row>
    <row r="117" customFormat="false" ht="15" hidden="false" customHeight="false" outlineLevel="0" collapsed="false">
      <c r="A117" s="2"/>
      <c r="B117" s="2"/>
      <c r="C117" s="2"/>
    </row>
    <row r="118" customFormat="false" ht="15" hidden="false" customHeight="false" outlineLevel="0" collapsed="false">
      <c r="A118" s="2"/>
      <c r="B118" s="2"/>
      <c r="C118" s="2"/>
    </row>
    <row r="119" customFormat="false" ht="15" hidden="false" customHeight="false" outlineLevel="0" collapsed="false">
      <c r="A119" s="2"/>
      <c r="B119" s="2"/>
      <c r="C119" s="2"/>
    </row>
    <row r="120" customFormat="false" ht="15" hidden="false" customHeight="false" outlineLevel="0" collapsed="false">
      <c r="A120" s="2"/>
      <c r="B120" s="2"/>
      <c r="C120" s="2"/>
    </row>
    <row r="121" customFormat="false" ht="15" hidden="false" customHeight="false" outlineLevel="0" collapsed="false">
      <c r="A121" s="2"/>
      <c r="B121" s="2"/>
      <c r="C121" s="2"/>
    </row>
    <row r="122" customFormat="false" ht="15" hidden="false" customHeight="false" outlineLevel="0" collapsed="false">
      <c r="A122" s="2"/>
      <c r="B122" s="2"/>
      <c r="C122" s="2"/>
    </row>
    <row r="123" customFormat="false" ht="15" hidden="false" customHeight="false" outlineLevel="0" collapsed="false">
      <c r="A123" s="2"/>
      <c r="B123" s="2"/>
      <c r="C123" s="2"/>
    </row>
    <row r="124" customFormat="false" ht="15" hidden="false" customHeight="false" outlineLevel="0" collapsed="false">
      <c r="A124" s="2"/>
      <c r="B124" s="2"/>
      <c r="C124" s="2"/>
    </row>
    <row r="125" customFormat="false" ht="15" hidden="false" customHeight="false" outlineLevel="0" collapsed="false">
      <c r="A125" s="2"/>
      <c r="B125" s="2"/>
      <c r="C125" s="2"/>
    </row>
    <row r="126" customFormat="false" ht="15" hidden="false" customHeight="false" outlineLevel="0" collapsed="false">
      <c r="A126" s="2"/>
      <c r="B126" s="2"/>
      <c r="C126" s="2"/>
    </row>
    <row r="127" customFormat="false" ht="15" hidden="false" customHeight="false" outlineLevel="0" collapsed="false">
      <c r="A127" s="2"/>
      <c r="B127" s="2"/>
      <c r="C127" s="2"/>
    </row>
    <row r="128" customFormat="false" ht="15" hidden="false" customHeight="false" outlineLevel="0" collapsed="false">
      <c r="A128" s="2"/>
      <c r="B128" s="2"/>
      <c r="C128" s="2"/>
    </row>
    <row r="129" customFormat="false" ht="15" hidden="false" customHeight="false" outlineLevel="0" collapsed="false">
      <c r="A129" s="2"/>
      <c r="B129" s="2"/>
      <c r="C129" s="2"/>
    </row>
    <row r="130" customFormat="false" ht="15" hidden="false" customHeight="false" outlineLevel="0" collapsed="false">
      <c r="A130" s="2"/>
      <c r="B130" s="2"/>
      <c r="C130" s="2"/>
    </row>
    <row r="131" customFormat="false" ht="15" hidden="false" customHeight="false" outlineLevel="0" collapsed="false">
      <c r="A131" s="2"/>
      <c r="B131" s="2"/>
      <c r="C131" s="2"/>
    </row>
    <row r="132" customFormat="false" ht="15" hidden="false" customHeight="false" outlineLevel="0" collapsed="false">
      <c r="A132" s="2"/>
      <c r="B132" s="2"/>
      <c r="C132" s="2"/>
    </row>
    <row r="133" customFormat="false" ht="15" hidden="false" customHeight="false" outlineLevel="0" collapsed="false">
      <c r="A133" s="2"/>
      <c r="B133" s="2"/>
      <c r="C133" s="2"/>
    </row>
    <row r="134" customFormat="false" ht="15" hidden="false" customHeight="false" outlineLevel="0" collapsed="false">
      <c r="A134" s="2"/>
      <c r="B134" s="2"/>
      <c r="C134" s="2"/>
    </row>
    <row r="135" customFormat="false" ht="15" hidden="false" customHeight="false" outlineLevel="0" collapsed="false">
      <c r="A135" s="2"/>
      <c r="B135" s="2"/>
      <c r="C135" s="2"/>
    </row>
    <row r="136" customFormat="false" ht="15" hidden="false" customHeight="false" outlineLevel="0" collapsed="false">
      <c r="A136" s="2"/>
      <c r="B136" s="2"/>
      <c r="C136" s="2"/>
    </row>
    <row r="137" customFormat="false" ht="15" hidden="false" customHeight="false" outlineLevel="0" collapsed="false">
      <c r="A137" s="2"/>
      <c r="B137" s="2"/>
      <c r="C137" s="2"/>
    </row>
    <row r="138" customFormat="false" ht="15" hidden="false" customHeight="false" outlineLevel="0" collapsed="false">
      <c r="A138" s="2"/>
      <c r="B138" s="2"/>
      <c r="C138" s="2"/>
    </row>
    <row r="139" customFormat="false" ht="15" hidden="false" customHeight="false" outlineLevel="0" collapsed="false">
      <c r="A139" s="2"/>
      <c r="B139" s="2"/>
      <c r="C139" s="2"/>
    </row>
    <row r="140" customFormat="false" ht="15" hidden="false" customHeight="false" outlineLevel="0" collapsed="false">
      <c r="A140" s="2"/>
      <c r="B140" s="2"/>
      <c r="C140" s="2"/>
    </row>
    <row r="141" customFormat="false" ht="15" hidden="false" customHeight="false" outlineLevel="0" collapsed="false">
      <c r="A141" s="2"/>
      <c r="B141" s="2"/>
      <c r="C141" s="2"/>
    </row>
    <row r="142" customFormat="false" ht="15" hidden="false" customHeight="false" outlineLevel="0" collapsed="false">
      <c r="A142" s="2"/>
      <c r="B142" s="2"/>
      <c r="C142" s="2"/>
    </row>
    <row r="143" customFormat="false" ht="15" hidden="false" customHeight="false" outlineLevel="0" collapsed="false">
      <c r="A143" s="2"/>
      <c r="B143" s="2"/>
      <c r="C143" s="2"/>
    </row>
    <row r="144" customFormat="false" ht="15" hidden="false" customHeight="false" outlineLevel="0" collapsed="false">
      <c r="A144" s="2"/>
      <c r="B144" s="2"/>
      <c r="C144" s="2"/>
    </row>
    <row r="145" customFormat="false" ht="15" hidden="false" customHeight="false" outlineLevel="0" collapsed="false">
      <c r="A145" s="2"/>
      <c r="B145" s="2"/>
      <c r="C145" s="2"/>
    </row>
    <row r="146" customFormat="false" ht="15" hidden="false" customHeight="false" outlineLevel="0" collapsed="false">
      <c r="A146" s="2"/>
      <c r="B146" s="2"/>
      <c r="C146" s="2"/>
    </row>
    <row r="147" customFormat="false" ht="15" hidden="false" customHeight="false" outlineLevel="0" collapsed="false">
      <c r="A147" s="2"/>
      <c r="B147" s="2"/>
      <c r="C147" s="2"/>
    </row>
    <row r="148" customFormat="false" ht="15" hidden="false" customHeight="false" outlineLevel="0" collapsed="false">
      <c r="A148" s="2"/>
      <c r="B148" s="2"/>
      <c r="C148" s="2"/>
    </row>
    <row r="149" customFormat="false" ht="15" hidden="false" customHeight="false" outlineLevel="0" collapsed="false">
      <c r="A149" s="2"/>
      <c r="B149" s="2"/>
      <c r="C149" s="2"/>
    </row>
    <row r="150" customFormat="false" ht="15" hidden="false" customHeight="false" outlineLevel="0" collapsed="false">
      <c r="A150" s="2"/>
      <c r="B150" s="2"/>
      <c r="C150" s="2"/>
    </row>
    <row r="151" customFormat="false" ht="15" hidden="false" customHeight="false" outlineLevel="0" collapsed="false">
      <c r="A151" s="2"/>
      <c r="B151" s="2"/>
      <c r="C151" s="2"/>
    </row>
    <row r="152" customFormat="false" ht="15" hidden="false" customHeight="false" outlineLevel="0" collapsed="false">
      <c r="A152" s="2"/>
      <c r="B152" s="2"/>
      <c r="C152" s="2"/>
    </row>
    <row r="153" customFormat="false" ht="15" hidden="false" customHeight="false" outlineLevel="0" collapsed="false">
      <c r="A153" s="2"/>
      <c r="B153" s="2"/>
      <c r="C153" s="2"/>
    </row>
    <row r="154" customFormat="false" ht="15" hidden="false" customHeight="false" outlineLevel="0" collapsed="false">
      <c r="A154" s="2"/>
      <c r="B154" s="2"/>
      <c r="C154" s="2"/>
    </row>
    <row r="155" customFormat="false" ht="15" hidden="false" customHeight="false" outlineLevel="0" collapsed="false">
      <c r="A155" s="2"/>
      <c r="B155" s="2"/>
      <c r="C155" s="2"/>
    </row>
    <row r="156" customFormat="false" ht="15" hidden="false" customHeight="false" outlineLevel="0" collapsed="false">
      <c r="A156" s="2"/>
      <c r="B156" s="2"/>
      <c r="C156" s="2"/>
    </row>
    <row r="157" customFormat="false" ht="15" hidden="false" customHeight="false" outlineLevel="0" collapsed="false">
      <c r="A157" s="2"/>
      <c r="B157" s="2"/>
      <c r="C157" s="2"/>
    </row>
    <row r="158" customFormat="false" ht="15" hidden="false" customHeight="false" outlineLevel="0" collapsed="false">
      <c r="A158" s="2"/>
      <c r="B158" s="2"/>
      <c r="C158" s="2"/>
    </row>
    <row r="159" customFormat="false" ht="15" hidden="false" customHeight="false" outlineLevel="0" collapsed="false">
      <c r="A159" s="2"/>
      <c r="B159" s="2"/>
      <c r="C159" s="2"/>
    </row>
    <row r="160" customFormat="false" ht="15" hidden="false" customHeight="false" outlineLevel="0" collapsed="false">
      <c r="A160" s="2"/>
      <c r="B160" s="2"/>
      <c r="C160" s="2"/>
    </row>
    <row r="161" customFormat="false" ht="15" hidden="false" customHeight="false" outlineLevel="0" collapsed="false">
      <c r="A161" s="2"/>
      <c r="B161" s="2"/>
      <c r="C161" s="2"/>
    </row>
    <row r="162" customFormat="false" ht="15" hidden="false" customHeight="false" outlineLevel="0" collapsed="false">
      <c r="A162" s="2"/>
      <c r="B162" s="2"/>
      <c r="C162" s="2"/>
    </row>
    <row r="163" customFormat="false" ht="15" hidden="false" customHeight="false" outlineLevel="0" collapsed="false">
      <c r="A163" s="2"/>
      <c r="B163" s="2"/>
      <c r="C163" s="2"/>
    </row>
    <row r="164" customFormat="false" ht="15" hidden="false" customHeight="false" outlineLevel="0" collapsed="false">
      <c r="A164" s="2"/>
      <c r="B164" s="2"/>
      <c r="C164" s="2"/>
    </row>
    <row r="165" customFormat="false" ht="15" hidden="false" customHeight="false" outlineLevel="0" collapsed="false">
      <c r="A165" s="2"/>
      <c r="B165" s="2"/>
      <c r="C165" s="2"/>
    </row>
    <row r="166" customFormat="false" ht="15" hidden="false" customHeight="false" outlineLevel="0" collapsed="false">
      <c r="A166" s="2"/>
      <c r="B166" s="2"/>
      <c r="C166" s="2"/>
    </row>
    <row r="167" customFormat="false" ht="15" hidden="false" customHeight="false" outlineLevel="0" collapsed="false">
      <c r="A167" s="2"/>
      <c r="B167" s="2"/>
      <c r="C167" s="2"/>
    </row>
    <row r="168" customFormat="false" ht="15" hidden="false" customHeight="false" outlineLevel="0" collapsed="false">
      <c r="A168" s="2"/>
      <c r="B168" s="2"/>
      <c r="C168" s="2"/>
    </row>
    <row r="169" customFormat="false" ht="15" hidden="false" customHeight="false" outlineLevel="0" collapsed="false">
      <c r="A169" s="2"/>
      <c r="B169" s="2"/>
      <c r="C169" s="2"/>
    </row>
    <row r="170" customFormat="false" ht="15" hidden="false" customHeight="false" outlineLevel="0" collapsed="false">
      <c r="A170" s="2"/>
      <c r="B170" s="2"/>
      <c r="C170" s="2"/>
    </row>
    <row r="171" customFormat="false" ht="15" hidden="false" customHeight="false" outlineLevel="0" collapsed="false">
      <c r="A171" s="2"/>
      <c r="B171" s="2"/>
      <c r="C171" s="2"/>
    </row>
    <row r="172" customFormat="false" ht="15" hidden="false" customHeight="false" outlineLevel="0" collapsed="false">
      <c r="A172" s="2"/>
      <c r="B172" s="2"/>
      <c r="C172" s="2"/>
    </row>
    <row r="173" customFormat="false" ht="15" hidden="false" customHeight="false" outlineLevel="0" collapsed="false">
      <c r="A173" s="2"/>
      <c r="B173" s="2"/>
      <c r="C173" s="2"/>
    </row>
    <row r="174" customFormat="false" ht="15" hidden="false" customHeight="false" outlineLevel="0" collapsed="false">
      <c r="A174" s="2"/>
      <c r="B174" s="2"/>
      <c r="C174" s="2"/>
    </row>
    <row r="175" customFormat="false" ht="15" hidden="false" customHeight="false" outlineLevel="0" collapsed="false">
      <c r="A175" s="2"/>
      <c r="B175" s="2"/>
      <c r="C175" s="2"/>
    </row>
    <row r="176" customFormat="false" ht="15" hidden="false" customHeight="false" outlineLevel="0" collapsed="false">
      <c r="A176" s="2"/>
      <c r="B176" s="2"/>
      <c r="C176" s="2"/>
    </row>
    <row r="177" customFormat="false" ht="15" hidden="false" customHeight="false" outlineLevel="0" collapsed="false">
      <c r="A177" s="2"/>
      <c r="B177" s="2"/>
      <c r="C177" s="2"/>
    </row>
    <row r="178" customFormat="false" ht="15" hidden="false" customHeight="false" outlineLevel="0" collapsed="false">
      <c r="A178" s="2"/>
      <c r="B178" s="2"/>
      <c r="C178" s="2"/>
    </row>
    <row r="179" customFormat="false" ht="15" hidden="false" customHeight="false" outlineLevel="0" collapsed="false">
      <c r="A179" s="2"/>
      <c r="B179" s="2"/>
      <c r="C179" s="2"/>
    </row>
    <row r="180" customFormat="false" ht="15" hidden="false" customHeight="false" outlineLevel="0" collapsed="false">
      <c r="A180" s="2"/>
      <c r="B180" s="2"/>
      <c r="C180" s="2"/>
    </row>
    <row r="181" customFormat="false" ht="15" hidden="false" customHeight="false" outlineLevel="0" collapsed="false">
      <c r="A181" s="2"/>
      <c r="B181" s="2"/>
      <c r="C181" s="2"/>
    </row>
    <row r="182" customFormat="false" ht="15" hidden="false" customHeight="false" outlineLevel="0" collapsed="false">
      <c r="A182" s="2"/>
      <c r="B182" s="2"/>
      <c r="C182" s="2"/>
    </row>
    <row r="183" customFormat="false" ht="15" hidden="false" customHeight="false" outlineLevel="0" collapsed="false">
      <c r="A183" s="2"/>
      <c r="B183" s="2"/>
      <c r="C183" s="2"/>
    </row>
    <row r="184" customFormat="false" ht="15" hidden="false" customHeight="false" outlineLevel="0" collapsed="false">
      <c r="A184" s="2"/>
      <c r="B184" s="2"/>
      <c r="C184" s="2"/>
    </row>
    <row r="185" customFormat="false" ht="15" hidden="false" customHeight="false" outlineLevel="0" collapsed="false">
      <c r="A185" s="2"/>
      <c r="B185" s="2"/>
      <c r="C185" s="2"/>
    </row>
    <row r="186" customFormat="false" ht="15" hidden="false" customHeight="false" outlineLevel="0" collapsed="false">
      <c r="A186" s="2"/>
      <c r="B186" s="2"/>
      <c r="C186" s="2"/>
    </row>
    <row r="187" customFormat="false" ht="15" hidden="false" customHeight="false" outlineLevel="0" collapsed="false">
      <c r="A187" s="2"/>
      <c r="B187" s="2"/>
      <c r="C187" s="2"/>
    </row>
    <row r="188" customFormat="false" ht="15" hidden="false" customHeight="false" outlineLevel="0" collapsed="false">
      <c r="A188" s="2"/>
      <c r="B188" s="2"/>
      <c r="C188" s="2"/>
    </row>
    <row r="189" customFormat="false" ht="15" hidden="false" customHeight="false" outlineLevel="0" collapsed="false">
      <c r="A189" s="2"/>
      <c r="B189" s="2"/>
      <c r="C189" s="2"/>
    </row>
    <row r="190" customFormat="false" ht="15" hidden="false" customHeight="false" outlineLevel="0" collapsed="false">
      <c r="A190" s="2"/>
      <c r="B190" s="2"/>
      <c r="C190" s="2"/>
    </row>
    <row r="191" customFormat="false" ht="15" hidden="false" customHeight="false" outlineLevel="0" collapsed="false">
      <c r="A191" s="2"/>
      <c r="B191" s="2"/>
      <c r="C191" s="2"/>
    </row>
    <row r="192" customFormat="false" ht="15" hidden="false" customHeight="false" outlineLevel="0" collapsed="false">
      <c r="A192" s="2"/>
      <c r="B192" s="2"/>
      <c r="C192" s="2"/>
    </row>
    <row r="193" customFormat="false" ht="15" hidden="false" customHeight="false" outlineLevel="0" collapsed="false">
      <c r="A193" s="2"/>
      <c r="B193" s="2"/>
      <c r="C193" s="2"/>
    </row>
    <row r="194" customFormat="false" ht="15" hidden="false" customHeight="false" outlineLevel="0" collapsed="false">
      <c r="A194" s="2"/>
      <c r="B194" s="2"/>
      <c r="C194" s="2"/>
    </row>
    <row r="195" customFormat="false" ht="15" hidden="false" customHeight="false" outlineLevel="0" collapsed="false">
      <c r="A195" s="2"/>
      <c r="B195" s="2"/>
      <c r="C195" s="2"/>
    </row>
    <row r="196" customFormat="false" ht="15" hidden="false" customHeight="false" outlineLevel="0" collapsed="false">
      <c r="A196" s="2"/>
      <c r="B196" s="2"/>
      <c r="C196" s="2"/>
    </row>
    <row r="197" customFormat="false" ht="15" hidden="false" customHeight="false" outlineLevel="0" collapsed="false">
      <c r="A197" s="2"/>
      <c r="B197" s="2"/>
      <c r="C197" s="2"/>
    </row>
    <row r="198" customFormat="false" ht="15" hidden="false" customHeight="false" outlineLevel="0" collapsed="false">
      <c r="A198" s="2"/>
      <c r="B198" s="2"/>
      <c r="C198" s="2"/>
    </row>
    <row r="199" customFormat="false" ht="15" hidden="false" customHeight="false" outlineLevel="0" collapsed="false">
      <c r="A199" s="2"/>
      <c r="B199" s="2"/>
      <c r="C199" s="2"/>
    </row>
    <row r="200" customFormat="false" ht="15" hidden="false" customHeight="false" outlineLevel="0" collapsed="false">
      <c r="A200" s="2"/>
      <c r="B200" s="2"/>
      <c r="C200" s="2"/>
    </row>
    <row r="201" customFormat="false" ht="15" hidden="false" customHeight="false" outlineLevel="0" collapsed="false">
      <c r="A201" s="2"/>
      <c r="B201" s="2"/>
      <c r="C201" s="2"/>
    </row>
    <row r="202" customFormat="false" ht="15" hidden="false" customHeight="false" outlineLevel="0" collapsed="false">
      <c r="A202" s="2"/>
      <c r="B202" s="2"/>
      <c r="C202" s="2"/>
    </row>
    <row r="203" customFormat="false" ht="15" hidden="false" customHeight="false" outlineLevel="0" collapsed="false">
      <c r="A203" s="2"/>
      <c r="B203" s="2"/>
      <c r="C203" s="2"/>
    </row>
    <row r="204" customFormat="false" ht="15" hidden="false" customHeight="false" outlineLevel="0" collapsed="false">
      <c r="A204" s="2"/>
      <c r="B204" s="2"/>
      <c r="C204" s="2"/>
    </row>
    <row r="205" customFormat="false" ht="15" hidden="false" customHeight="false" outlineLevel="0" collapsed="false">
      <c r="A205" s="2"/>
      <c r="B205" s="2"/>
      <c r="C205" s="2"/>
    </row>
    <row r="206" customFormat="false" ht="15" hidden="false" customHeight="false" outlineLevel="0" collapsed="false">
      <c r="A206" s="2"/>
      <c r="B206" s="2"/>
      <c r="C206" s="2"/>
    </row>
    <row r="207" customFormat="false" ht="15" hidden="false" customHeight="false" outlineLevel="0" collapsed="false">
      <c r="A207" s="2"/>
      <c r="B207" s="2"/>
      <c r="C207" s="2"/>
    </row>
    <row r="208" customFormat="false" ht="15" hidden="false" customHeight="false" outlineLevel="0" collapsed="false">
      <c r="A208" s="2"/>
      <c r="B208" s="2"/>
      <c r="C208" s="2"/>
    </row>
    <row r="209" customFormat="false" ht="15" hidden="false" customHeight="false" outlineLevel="0" collapsed="false">
      <c r="A209" s="2"/>
      <c r="B209" s="2"/>
      <c r="C209" s="2"/>
    </row>
    <row r="210" customFormat="false" ht="15" hidden="false" customHeight="false" outlineLevel="0" collapsed="false">
      <c r="A210" s="2"/>
      <c r="B210" s="2"/>
      <c r="C210" s="2"/>
    </row>
    <row r="211" customFormat="false" ht="15" hidden="false" customHeight="false" outlineLevel="0" collapsed="false">
      <c r="A211" s="2"/>
      <c r="B211" s="2"/>
      <c r="C211" s="2"/>
    </row>
    <row r="212" customFormat="false" ht="15" hidden="false" customHeight="false" outlineLevel="0" collapsed="false">
      <c r="A212" s="2"/>
      <c r="B212" s="2"/>
      <c r="C212" s="2"/>
    </row>
    <row r="213" customFormat="false" ht="15" hidden="false" customHeight="false" outlineLevel="0" collapsed="false">
      <c r="A213" s="2"/>
      <c r="B213" s="2"/>
      <c r="C213" s="2"/>
    </row>
    <row r="214" customFormat="false" ht="15" hidden="false" customHeight="false" outlineLevel="0" collapsed="false">
      <c r="A214" s="2"/>
      <c r="B214" s="2"/>
      <c r="C214" s="2"/>
    </row>
    <row r="215" customFormat="false" ht="15" hidden="false" customHeight="false" outlineLevel="0" collapsed="false">
      <c r="A215" s="2"/>
      <c r="B215" s="2"/>
      <c r="C215" s="2"/>
    </row>
    <row r="216" customFormat="false" ht="15" hidden="false" customHeight="false" outlineLevel="0" collapsed="false">
      <c r="A216" s="2"/>
      <c r="B216" s="2"/>
      <c r="C216" s="2"/>
    </row>
    <row r="217" customFormat="false" ht="15" hidden="false" customHeight="false" outlineLevel="0" collapsed="false">
      <c r="A217" s="2"/>
      <c r="B217" s="2"/>
      <c r="C217" s="2"/>
    </row>
    <row r="218" customFormat="false" ht="15" hidden="false" customHeight="false" outlineLevel="0" collapsed="false">
      <c r="A218" s="2"/>
      <c r="B218" s="2"/>
      <c r="C218" s="2"/>
    </row>
    <row r="219" customFormat="false" ht="15" hidden="false" customHeight="false" outlineLevel="0" collapsed="false">
      <c r="A219" s="2"/>
      <c r="B219" s="2"/>
      <c r="C219" s="2"/>
    </row>
    <row r="220" customFormat="false" ht="15" hidden="false" customHeight="false" outlineLevel="0" collapsed="false">
      <c r="A220" s="2"/>
      <c r="B220" s="2"/>
      <c r="C220" s="2"/>
    </row>
    <row r="221" customFormat="false" ht="15" hidden="false" customHeight="false" outlineLevel="0" collapsed="false">
      <c r="A221" s="2"/>
      <c r="B221" s="2"/>
      <c r="C221" s="2"/>
    </row>
    <row r="222" customFormat="false" ht="15" hidden="false" customHeight="false" outlineLevel="0" collapsed="false">
      <c r="A222" s="2"/>
      <c r="B222" s="2"/>
      <c r="C222" s="2"/>
    </row>
    <row r="223" customFormat="false" ht="15" hidden="false" customHeight="false" outlineLevel="0" collapsed="false">
      <c r="A223" s="2"/>
      <c r="B223" s="2"/>
      <c r="C223" s="2"/>
    </row>
    <row r="224" customFormat="false" ht="15" hidden="false" customHeight="false" outlineLevel="0" collapsed="false">
      <c r="A224" s="2"/>
      <c r="B224" s="2"/>
      <c r="C224" s="2"/>
    </row>
    <row r="225" customFormat="false" ht="15" hidden="false" customHeight="false" outlineLevel="0" collapsed="false">
      <c r="A225" s="2"/>
      <c r="B225" s="2"/>
      <c r="C225" s="2"/>
    </row>
    <row r="226" customFormat="false" ht="15" hidden="false" customHeight="false" outlineLevel="0" collapsed="false">
      <c r="A226" s="2"/>
      <c r="B226" s="2"/>
      <c r="C226" s="2"/>
    </row>
    <row r="227" customFormat="false" ht="15" hidden="false" customHeight="false" outlineLevel="0" collapsed="false">
      <c r="A227" s="2"/>
      <c r="B227" s="2"/>
      <c r="C227" s="2"/>
    </row>
    <row r="228" customFormat="false" ht="15" hidden="false" customHeight="false" outlineLevel="0" collapsed="false">
      <c r="A228" s="2"/>
      <c r="B228" s="2"/>
      <c r="C228" s="2"/>
    </row>
    <row r="229" customFormat="false" ht="15" hidden="false" customHeight="false" outlineLevel="0" collapsed="false">
      <c r="A229" s="2"/>
      <c r="B229" s="2"/>
      <c r="C229" s="2"/>
    </row>
    <row r="230" customFormat="false" ht="15" hidden="false" customHeight="false" outlineLevel="0" collapsed="false">
      <c r="A230" s="2"/>
      <c r="B230" s="2"/>
      <c r="C230" s="2"/>
    </row>
    <row r="231" customFormat="false" ht="15" hidden="false" customHeight="false" outlineLevel="0" collapsed="false">
      <c r="A231" s="2"/>
      <c r="B231" s="2"/>
      <c r="C231" s="2"/>
    </row>
    <row r="232" customFormat="false" ht="15" hidden="false" customHeight="false" outlineLevel="0" collapsed="false">
      <c r="A232" s="2"/>
      <c r="B232" s="2"/>
      <c r="C232" s="2"/>
    </row>
    <row r="233" customFormat="false" ht="15" hidden="false" customHeight="false" outlineLevel="0" collapsed="false">
      <c r="A233" s="2"/>
      <c r="B233" s="2"/>
      <c r="C233" s="2"/>
    </row>
    <row r="234" customFormat="false" ht="15" hidden="false" customHeight="false" outlineLevel="0" collapsed="false">
      <c r="A234" s="2"/>
      <c r="B234" s="2"/>
      <c r="C234" s="2"/>
    </row>
    <row r="235" customFormat="false" ht="15" hidden="false" customHeight="false" outlineLevel="0" collapsed="false">
      <c r="A235" s="2"/>
      <c r="B235" s="2"/>
      <c r="C235" s="2"/>
    </row>
    <row r="236" customFormat="false" ht="15" hidden="false" customHeight="false" outlineLevel="0" collapsed="false">
      <c r="A236" s="2"/>
      <c r="B236" s="2"/>
      <c r="C236" s="2"/>
    </row>
    <row r="237" customFormat="false" ht="15" hidden="false" customHeight="false" outlineLevel="0" collapsed="false">
      <c r="A237" s="2"/>
      <c r="B237" s="2"/>
      <c r="C237" s="2"/>
    </row>
    <row r="238" customFormat="false" ht="15" hidden="false" customHeight="false" outlineLevel="0" collapsed="false">
      <c r="A238" s="2"/>
      <c r="B238" s="2"/>
      <c r="C238" s="2"/>
    </row>
    <row r="239" customFormat="false" ht="15" hidden="false" customHeight="false" outlineLevel="0" collapsed="false">
      <c r="A239" s="2"/>
      <c r="B239" s="2"/>
      <c r="C239" s="2"/>
    </row>
    <row r="240" customFormat="false" ht="15" hidden="false" customHeight="false" outlineLevel="0" collapsed="false">
      <c r="A240" s="2"/>
      <c r="B240" s="2"/>
      <c r="C240" s="2"/>
    </row>
    <row r="241" customFormat="false" ht="15" hidden="false" customHeight="false" outlineLevel="0" collapsed="false">
      <c r="A241" s="2"/>
      <c r="B241" s="2"/>
      <c r="C241" s="2"/>
    </row>
    <row r="242" customFormat="false" ht="15" hidden="false" customHeight="false" outlineLevel="0" collapsed="false">
      <c r="A242" s="2"/>
      <c r="B242" s="2"/>
      <c r="C242" s="2"/>
    </row>
    <row r="243" customFormat="false" ht="15" hidden="false" customHeight="false" outlineLevel="0" collapsed="false">
      <c r="A243" s="2"/>
      <c r="B243" s="2"/>
      <c r="C243" s="2"/>
    </row>
    <row r="244" customFormat="false" ht="15" hidden="false" customHeight="false" outlineLevel="0" collapsed="false">
      <c r="A244" s="2"/>
      <c r="B244" s="2"/>
      <c r="C244" s="2"/>
    </row>
    <row r="245" customFormat="false" ht="15" hidden="false" customHeight="false" outlineLevel="0" collapsed="false">
      <c r="A245" s="2"/>
      <c r="B245" s="2"/>
      <c r="C245" s="2"/>
    </row>
    <row r="246" customFormat="false" ht="15" hidden="false" customHeight="false" outlineLevel="0" collapsed="false">
      <c r="A246" s="2"/>
      <c r="B246" s="2"/>
      <c r="C246" s="2"/>
    </row>
    <row r="247" customFormat="false" ht="15" hidden="false" customHeight="false" outlineLevel="0" collapsed="false">
      <c r="A247" s="2"/>
      <c r="B247" s="2"/>
      <c r="C247" s="2"/>
    </row>
    <row r="248" customFormat="false" ht="15" hidden="false" customHeight="false" outlineLevel="0" collapsed="false">
      <c r="A248" s="2"/>
      <c r="B248" s="2"/>
      <c r="C248" s="2"/>
    </row>
    <row r="249" customFormat="false" ht="15" hidden="false" customHeight="false" outlineLevel="0" collapsed="false">
      <c r="A249" s="2"/>
      <c r="B249" s="2"/>
      <c r="C249" s="2"/>
    </row>
    <row r="250" customFormat="false" ht="15" hidden="false" customHeight="false" outlineLevel="0" collapsed="false">
      <c r="A250" s="2"/>
      <c r="B250" s="2"/>
      <c r="C250" s="2"/>
    </row>
    <row r="251" customFormat="false" ht="15" hidden="false" customHeight="false" outlineLevel="0" collapsed="false">
      <c r="A251" s="2"/>
      <c r="B251" s="2"/>
      <c r="C251" s="2"/>
    </row>
    <row r="252" customFormat="false" ht="15" hidden="false" customHeight="false" outlineLevel="0" collapsed="false">
      <c r="A252" s="2"/>
      <c r="B252" s="2"/>
      <c r="C252" s="2"/>
    </row>
    <row r="253" customFormat="false" ht="15" hidden="false" customHeight="false" outlineLevel="0" collapsed="false">
      <c r="A253" s="2"/>
      <c r="B253" s="2"/>
      <c r="C253" s="2"/>
    </row>
    <row r="254" customFormat="false" ht="15" hidden="false" customHeight="false" outlineLevel="0" collapsed="false">
      <c r="A254" s="2"/>
      <c r="B254" s="2"/>
      <c r="C254" s="2"/>
    </row>
    <row r="255" customFormat="false" ht="15" hidden="false" customHeight="false" outlineLevel="0" collapsed="false">
      <c r="A255" s="2"/>
      <c r="B255" s="2"/>
      <c r="C255" s="2"/>
    </row>
    <row r="256" customFormat="false" ht="15" hidden="false" customHeight="false" outlineLevel="0" collapsed="false">
      <c r="A256" s="2"/>
      <c r="B256" s="2"/>
      <c r="C256" s="2"/>
    </row>
    <row r="257" customFormat="false" ht="15" hidden="false" customHeight="false" outlineLevel="0" collapsed="false">
      <c r="A257" s="2"/>
      <c r="B257" s="2"/>
      <c r="C257" s="2"/>
    </row>
    <row r="258" customFormat="false" ht="15" hidden="false" customHeight="false" outlineLevel="0" collapsed="false">
      <c r="A258" s="2"/>
      <c r="B258" s="2"/>
      <c r="C258" s="2"/>
    </row>
    <row r="259" customFormat="false" ht="15" hidden="false" customHeight="false" outlineLevel="0" collapsed="false">
      <c r="A259" s="2"/>
      <c r="B259" s="2"/>
      <c r="C259" s="2"/>
    </row>
    <row r="260" customFormat="false" ht="15" hidden="false" customHeight="false" outlineLevel="0" collapsed="false">
      <c r="A260" s="2"/>
      <c r="B260" s="2"/>
      <c r="C260" s="2"/>
    </row>
    <row r="261" customFormat="false" ht="15" hidden="false" customHeight="false" outlineLevel="0" collapsed="false">
      <c r="A261" s="2"/>
      <c r="B261" s="2"/>
      <c r="C261" s="2"/>
    </row>
    <row r="262" customFormat="false" ht="15" hidden="false" customHeight="false" outlineLevel="0" collapsed="false">
      <c r="A262" s="2"/>
      <c r="B262" s="2"/>
      <c r="C262" s="2"/>
    </row>
    <row r="263" customFormat="false" ht="15" hidden="false" customHeight="false" outlineLevel="0" collapsed="false">
      <c r="A263" s="2"/>
      <c r="B263" s="2"/>
      <c r="C263" s="2"/>
    </row>
    <row r="264" customFormat="false" ht="15" hidden="false" customHeight="false" outlineLevel="0" collapsed="false">
      <c r="A264" s="2"/>
      <c r="B264" s="2"/>
      <c r="C264" s="2"/>
    </row>
    <row r="265" customFormat="false" ht="15" hidden="false" customHeight="false" outlineLevel="0" collapsed="false">
      <c r="A265" s="2"/>
      <c r="B265" s="2"/>
      <c r="C265" s="2"/>
    </row>
    <row r="266" customFormat="false" ht="15" hidden="false" customHeight="false" outlineLevel="0" collapsed="false">
      <c r="A266" s="2"/>
      <c r="B266" s="2"/>
      <c r="C266" s="2"/>
    </row>
    <row r="267" customFormat="false" ht="15" hidden="false" customHeight="false" outlineLevel="0" collapsed="false">
      <c r="A267" s="2"/>
      <c r="B267" s="2"/>
      <c r="C267" s="2"/>
    </row>
    <row r="268" customFormat="false" ht="15" hidden="false" customHeight="false" outlineLevel="0" collapsed="false">
      <c r="A268" s="2"/>
      <c r="B268" s="2"/>
      <c r="C268" s="2"/>
    </row>
    <row r="269" customFormat="false" ht="15" hidden="false" customHeight="false" outlineLevel="0" collapsed="false">
      <c r="A269" s="2"/>
      <c r="B269" s="2"/>
      <c r="C269" s="2"/>
    </row>
    <row r="270" customFormat="false" ht="15" hidden="false" customHeight="false" outlineLevel="0" collapsed="false">
      <c r="A270" s="2"/>
      <c r="B270" s="2"/>
      <c r="C270" s="2"/>
    </row>
    <row r="271" customFormat="false" ht="15" hidden="false" customHeight="false" outlineLevel="0" collapsed="false">
      <c r="A271" s="2"/>
      <c r="B271" s="2"/>
      <c r="C271" s="2"/>
    </row>
    <row r="272" customFormat="false" ht="15" hidden="false" customHeight="false" outlineLevel="0" collapsed="false">
      <c r="A272" s="2"/>
      <c r="B272" s="2"/>
      <c r="C272" s="2"/>
    </row>
    <row r="273" customFormat="false" ht="15" hidden="false" customHeight="false" outlineLevel="0" collapsed="false">
      <c r="A273" s="2"/>
      <c r="B273" s="2"/>
      <c r="C273" s="2"/>
    </row>
    <row r="274" customFormat="false" ht="15" hidden="false" customHeight="false" outlineLevel="0" collapsed="false">
      <c r="A274" s="2"/>
      <c r="B274" s="2"/>
      <c r="C274" s="2"/>
    </row>
    <row r="275" customFormat="false" ht="15" hidden="false" customHeight="false" outlineLevel="0" collapsed="false">
      <c r="A275" s="2"/>
      <c r="B275" s="2"/>
      <c r="C275" s="2"/>
    </row>
    <row r="276" customFormat="false" ht="15" hidden="false" customHeight="false" outlineLevel="0" collapsed="false">
      <c r="A276" s="2"/>
      <c r="B276" s="2"/>
      <c r="C276" s="2"/>
    </row>
    <row r="277" customFormat="false" ht="15" hidden="false" customHeight="false" outlineLevel="0" collapsed="false">
      <c r="A277" s="2"/>
      <c r="B277" s="2"/>
      <c r="C277" s="2"/>
    </row>
    <row r="278" customFormat="false" ht="15" hidden="false" customHeight="false" outlineLevel="0" collapsed="false">
      <c r="A278" s="2"/>
      <c r="B278" s="2"/>
      <c r="C278" s="2"/>
    </row>
    <row r="279" customFormat="false" ht="15" hidden="false" customHeight="false" outlineLevel="0" collapsed="false">
      <c r="A279" s="2"/>
      <c r="B279" s="2"/>
      <c r="C279" s="2"/>
    </row>
    <row r="280" customFormat="false" ht="15" hidden="false" customHeight="false" outlineLevel="0" collapsed="false">
      <c r="A280" s="2"/>
      <c r="B280" s="2"/>
      <c r="C280" s="2"/>
    </row>
    <row r="281" customFormat="false" ht="15" hidden="false" customHeight="false" outlineLevel="0" collapsed="false">
      <c r="A281" s="2"/>
      <c r="B281" s="2"/>
      <c r="C281" s="2"/>
    </row>
    <row r="282" customFormat="false" ht="15" hidden="false" customHeight="false" outlineLevel="0" collapsed="false">
      <c r="A282" s="2"/>
      <c r="B282" s="2"/>
      <c r="C282" s="2"/>
    </row>
    <row r="283" customFormat="false" ht="15" hidden="false" customHeight="false" outlineLevel="0" collapsed="false">
      <c r="A283" s="2"/>
      <c r="B283" s="2"/>
      <c r="C283" s="2"/>
    </row>
    <row r="284" customFormat="false" ht="15" hidden="false" customHeight="false" outlineLevel="0" collapsed="false">
      <c r="A284" s="2"/>
      <c r="B284" s="2"/>
      <c r="C284" s="2"/>
    </row>
    <row r="285" customFormat="false" ht="15" hidden="false" customHeight="false" outlineLevel="0" collapsed="false">
      <c r="A285" s="2"/>
      <c r="B285" s="2"/>
      <c r="C285" s="2"/>
    </row>
    <row r="286" customFormat="false" ht="15" hidden="false" customHeight="false" outlineLevel="0" collapsed="false">
      <c r="A286" s="2"/>
      <c r="B286" s="2"/>
      <c r="C286" s="2"/>
    </row>
    <row r="287" customFormat="false" ht="15" hidden="false" customHeight="false" outlineLevel="0" collapsed="false">
      <c r="A287" s="2"/>
      <c r="B287" s="2"/>
      <c r="C287" s="2"/>
    </row>
    <row r="288" customFormat="false" ht="15" hidden="false" customHeight="false" outlineLevel="0" collapsed="false">
      <c r="A288" s="2"/>
      <c r="B288" s="2"/>
      <c r="C288" s="2"/>
    </row>
    <row r="289" customFormat="false" ht="15" hidden="false" customHeight="false" outlineLevel="0" collapsed="false">
      <c r="A289" s="2"/>
      <c r="B289" s="2"/>
      <c r="C289" s="2"/>
    </row>
    <row r="290" customFormat="false" ht="15" hidden="false" customHeight="false" outlineLevel="0" collapsed="false">
      <c r="A290" s="2"/>
      <c r="B290" s="2"/>
      <c r="C290" s="2"/>
    </row>
    <row r="291" customFormat="false" ht="15" hidden="false" customHeight="false" outlineLevel="0" collapsed="false">
      <c r="A291" s="2"/>
      <c r="B291" s="2"/>
      <c r="C291" s="2"/>
    </row>
    <row r="292" customFormat="false" ht="15" hidden="false" customHeight="false" outlineLevel="0" collapsed="false">
      <c r="A292" s="2"/>
      <c r="B292" s="2"/>
      <c r="C292" s="2"/>
    </row>
    <row r="293" customFormat="false" ht="15" hidden="false" customHeight="false" outlineLevel="0" collapsed="false">
      <c r="A293" s="2"/>
      <c r="B293" s="2"/>
      <c r="C293" s="2"/>
    </row>
    <row r="294" customFormat="false" ht="15" hidden="false" customHeight="false" outlineLevel="0" collapsed="false">
      <c r="A294" s="2"/>
      <c r="B294" s="2"/>
      <c r="C294" s="2"/>
    </row>
    <row r="295" customFormat="false" ht="15" hidden="false" customHeight="false" outlineLevel="0" collapsed="false">
      <c r="A295" s="2"/>
      <c r="B295" s="2"/>
      <c r="C295" s="2"/>
    </row>
    <row r="296" customFormat="false" ht="15" hidden="false" customHeight="false" outlineLevel="0" collapsed="false">
      <c r="A296" s="2"/>
      <c r="B296" s="2"/>
      <c r="C296" s="2"/>
    </row>
    <row r="297" customFormat="false" ht="15" hidden="false" customHeight="false" outlineLevel="0" collapsed="false">
      <c r="A297" s="2"/>
      <c r="B297" s="2"/>
      <c r="C297" s="2"/>
    </row>
    <row r="298" customFormat="false" ht="15" hidden="false" customHeight="false" outlineLevel="0" collapsed="false">
      <c r="A298" s="2"/>
      <c r="B298" s="2"/>
      <c r="C298" s="2"/>
    </row>
    <row r="299" customFormat="false" ht="15" hidden="false" customHeight="false" outlineLevel="0" collapsed="false">
      <c r="A299" s="2"/>
      <c r="B299" s="2"/>
      <c r="C29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6" min="3" style="0" width="12"/>
    <col collapsed="false" customWidth="true" hidden="false" outlineLevel="0" max="8" min="7" style="0" width="14"/>
  </cols>
  <sheetData>
    <row r="1" customFormat="false" ht="27.75" hidden="false" customHeight="true" outlineLevel="0" collapsed="false">
      <c r="A1" s="1" t="s">
        <v>126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127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4" t="s">
        <v>128</v>
      </c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30" hidden="false" customHeight="true" outlineLevel="0" collapsed="false">
      <c r="A5" s="9" t="s">
        <v>129</v>
      </c>
      <c r="B5" s="9" t="s">
        <v>13</v>
      </c>
      <c r="C5" s="9" t="s">
        <v>130</v>
      </c>
      <c r="D5" s="9" t="s">
        <v>131</v>
      </c>
      <c r="E5" s="9" t="s">
        <v>132</v>
      </c>
      <c r="F5" s="9" t="s">
        <v>133</v>
      </c>
      <c r="G5" s="9" t="s">
        <v>134</v>
      </c>
      <c r="H5" s="9" t="s">
        <v>135</v>
      </c>
    </row>
    <row r="6" customFormat="false" ht="15" hidden="false" customHeight="false" outlineLevel="0" collapsed="false">
      <c r="A6" s="6" t="n">
        <v>46328</v>
      </c>
      <c r="B6" s="12" t="s">
        <v>20</v>
      </c>
      <c r="C6" s="20" t="n">
        <v>3</v>
      </c>
      <c r="D6" s="20" t="n">
        <v>1850</v>
      </c>
      <c r="E6" s="20" t="n">
        <v>4</v>
      </c>
      <c r="F6" s="20" t="n">
        <v>2</v>
      </c>
      <c r="G6" s="20" t="n">
        <v>1</v>
      </c>
      <c r="H6" s="21" t="n">
        <v>1450</v>
      </c>
    </row>
    <row r="7" customFormat="false" ht="15" hidden="false" customHeight="false" outlineLevel="0" collapsed="false">
      <c r="A7" s="6"/>
      <c r="B7" s="12"/>
      <c r="C7" s="20"/>
      <c r="D7" s="20"/>
      <c r="E7" s="20"/>
      <c r="F7" s="20"/>
      <c r="G7" s="20"/>
      <c r="H7" s="21"/>
    </row>
    <row r="8" customFormat="false" ht="15" hidden="false" customHeight="false" outlineLevel="0" collapsed="false">
      <c r="A8" s="6"/>
      <c r="B8" s="12"/>
      <c r="C8" s="20"/>
      <c r="D8" s="20"/>
      <c r="E8" s="20"/>
      <c r="F8" s="20"/>
      <c r="G8" s="20"/>
      <c r="H8" s="21"/>
    </row>
    <row r="9" customFormat="false" ht="15" hidden="false" customHeight="false" outlineLevel="0" collapsed="false">
      <c r="A9" s="6"/>
      <c r="B9" s="12"/>
      <c r="C9" s="20"/>
      <c r="D9" s="20"/>
      <c r="E9" s="20"/>
      <c r="F9" s="20"/>
      <c r="G9" s="20"/>
      <c r="H9" s="21"/>
    </row>
    <row r="10" customFormat="false" ht="15" hidden="false" customHeight="false" outlineLevel="0" collapsed="false">
      <c r="A10" s="6"/>
      <c r="B10" s="12"/>
      <c r="C10" s="20"/>
      <c r="D10" s="20"/>
      <c r="E10" s="20"/>
      <c r="F10" s="20"/>
      <c r="G10" s="20"/>
      <c r="H10" s="21"/>
    </row>
    <row r="11" customFormat="false" ht="15" hidden="false" customHeight="false" outlineLevel="0" collapsed="false">
      <c r="A11" s="6"/>
      <c r="B11" s="12"/>
      <c r="C11" s="20"/>
      <c r="D11" s="20"/>
      <c r="E11" s="20"/>
      <c r="F11" s="20"/>
      <c r="G11" s="20"/>
      <c r="H11" s="21"/>
    </row>
    <row r="12" customFormat="false" ht="15" hidden="false" customHeight="false" outlineLevel="0" collapsed="false">
      <c r="A12" s="6"/>
      <c r="B12" s="12"/>
      <c r="C12" s="20"/>
      <c r="D12" s="20"/>
      <c r="E12" s="20"/>
      <c r="F12" s="20"/>
      <c r="G12" s="20"/>
      <c r="H12" s="21"/>
    </row>
    <row r="13" customFormat="false" ht="15" hidden="false" customHeight="false" outlineLevel="0" collapsed="false">
      <c r="A13" s="6"/>
      <c r="B13" s="12"/>
      <c r="C13" s="20"/>
      <c r="D13" s="20"/>
      <c r="E13" s="20"/>
      <c r="F13" s="20"/>
      <c r="G13" s="20"/>
      <c r="H13" s="21"/>
    </row>
    <row r="14" customFormat="false" ht="15" hidden="false" customHeight="false" outlineLevel="0" collapsed="false">
      <c r="A14" s="6"/>
      <c r="B14" s="12"/>
      <c r="C14" s="20"/>
      <c r="D14" s="20"/>
      <c r="E14" s="20"/>
      <c r="F14" s="20"/>
      <c r="G14" s="20"/>
      <c r="H14" s="21"/>
    </row>
    <row r="15" customFormat="false" ht="15" hidden="false" customHeight="false" outlineLevel="0" collapsed="false">
      <c r="A15" s="6"/>
      <c r="B15" s="12"/>
      <c r="C15" s="20"/>
      <c r="D15" s="20"/>
      <c r="E15" s="20"/>
      <c r="F15" s="20"/>
      <c r="G15" s="20"/>
      <c r="H15" s="21"/>
    </row>
    <row r="16" customFormat="false" ht="15" hidden="false" customHeight="false" outlineLevel="0" collapsed="false">
      <c r="A16" s="6"/>
      <c r="B16" s="12"/>
      <c r="C16" s="20"/>
      <c r="D16" s="20"/>
      <c r="E16" s="20"/>
      <c r="F16" s="20"/>
      <c r="G16" s="20"/>
      <c r="H16" s="21"/>
    </row>
    <row r="17" customFormat="false" ht="15" hidden="false" customHeight="false" outlineLevel="0" collapsed="false">
      <c r="A17" s="6"/>
      <c r="B17" s="12"/>
      <c r="C17" s="20"/>
      <c r="D17" s="20"/>
      <c r="E17" s="20"/>
      <c r="F17" s="20"/>
      <c r="G17" s="20"/>
      <c r="H17" s="21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</row>
    <row r="19" customFormat="false" ht="19.5" hidden="false" customHeight="true" outlineLevel="0" collapsed="false">
      <c r="A19" s="8" t="s">
        <v>136</v>
      </c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0" collapsed="false">
      <c r="A20" s="5" t="s">
        <v>130</v>
      </c>
      <c r="B20" s="14" t="n">
        <f aca="false">SUM(C6:C17)</f>
        <v>3</v>
      </c>
      <c r="C20" s="2"/>
      <c r="D20" s="2"/>
      <c r="E20" s="2"/>
      <c r="F20" s="2"/>
      <c r="G20" s="2"/>
      <c r="H20" s="2"/>
    </row>
    <row r="21" customFormat="false" ht="22.35" hidden="false" customHeight="false" outlineLevel="0" collapsed="false">
      <c r="A21" s="5" t="s">
        <v>137</v>
      </c>
      <c r="B21" s="14" t="n">
        <f aca="false">SUM(F6:F17)</f>
        <v>2</v>
      </c>
      <c r="C21" s="2"/>
      <c r="D21" s="2"/>
      <c r="E21" s="2"/>
      <c r="F21" s="2"/>
      <c r="G21" s="2"/>
      <c r="H21" s="2"/>
    </row>
    <row r="22" customFormat="false" ht="15" hidden="false" customHeight="false" outlineLevel="0" collapsed="false">
      <c r="A22" s="5" t="s">
        <v>134</v>
      </c>
      <c r="B22" s="14" t="n">
        <f aca="false">SUM(G6:G17)</f>
        <v>1</v>
      </c>
      <c r="C22" s="2"/>
      <c r="D22" s="2"/>
      <c r="E22" s="2"/>
      <c r="F22" s="2"/>
      <c r="G22" s="2"/>
      <c r="H22" s="2"/>
    </row>
    <row r="23" customFormat="false" ht="22.35" hidden="false" customHeight="false" outlineLevel="0" collapsed="false">
      <c r="A23" s="5" t="s">
        <v>135</v>
      </c>
      <c r="B23" s="22" t="n">
        <f aca="false">SUM(H6:H17)</f>
        <v>1450</v>
      </c>
      <c r="C23" s="2"/>
      <c r="D23" s="2"/>
      <c r="E23" s="2"/>
      <c r="F23" s="2"/>
      <c r="G23" s="2"/>
      <c r="H23" s="2"/>
    </row>
    <row r="24" customFormat="false" ht="22.35" hidden="false" customHeight="false" outlineLevel="0" collapsed="false">
      <c r="A24" s="5" t="s">
        <v>138</v>
      </c>
      <c r="B24" s="23" t="n">
        <f aca="false">IF(B20&gt;0,B21/B20,"")</f>
        <v>0.666666666666667</v>
      </c>
      <c r="C24" s="17" t="s">
        <v>139</v>
      </c>
      <c r="D24" s="2"/>
      <c r="E24" s="2"/>
      <c r="F24" s="2"/>
      <c r="G24" s="2"/>
      <c r="H24" s="2"/>
    </row>
    <row r="25" customFormat="false" ht="22.35" hidden="false" customHeight="false" outlineLevel="0" collapsed="false">
      <c r="A25" s="5" t="s">
        <v>140</v>
      </c>
      <c r="B25" s="22" t="n">
        <f aca="false">IF(B20&gt;0,B23/B20,"")</f>
        <v>483.333333333333</v>
      </c>
      <c r="C25" s="2"/>
      <c r="D25" s="2"/>
      <c r="E25" s="2"/>
      <c r="F25" s="2"/>
      <c r="G25" s="2"/>
      <c r="H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</row>
    <row r="27" customFormat="false" ht="15" hidden="false" customHeight="false" outlineLevel="0" collapsed="false">
      <c r="A27" s="18" t="s">
        <v>60</v>
      </c>
      <c r="B27" s="2"/>
      <c r="C27" s="2"/>
      <c r="D27" s="2"/>
      <c r="E27" s="2"/>
      <c r="F27" s="2"/>
      <c r="G27" s="2"/>
      <c r="H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</row>
  </sheetData>
  <mergeCells count="1"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2026-10-14T11:58:25Z</dcterms:created>
  <dc:creator>openpyxl</dc:creator>
  <dc:description/>
  <dc:language>en-US</dc:language>
  <cp:lastModifiedBy/>
  <dcterms:modified xsi:type="dcterms:W3CDTF">2026-10-14T11:58:25Z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