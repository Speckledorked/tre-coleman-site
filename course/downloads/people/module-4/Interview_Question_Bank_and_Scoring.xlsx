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 Bank" sheetId="1" state="visible" r:id="rId3"/>
    <sheet name="Scoring Sheet" sheetId="2" state="visible" r:id="rId4"/>
    <sheet name="Candidate Pip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<sst xmlns="http://schemas.openxmlformats.org/spreadsheetml/2006/main" count="117" uniqueCount="98">
  <si>
    <t xml:space="preserve">INTERVIEW QUESTION BANK</t>
  </si>
  <si>
    <t xml:space="preserve">The Catering People System | Module 4 | Ask about what they did, not what they would do</t>
  </si>
  <si>
    <t xml:space="preserve">Pick 6-8 questions per interview: 2 from 'All roles' and 4-6 from the role. Ask every candidate for the role the same questions.</t>
  </si>
  <si>
    <t xml:space="preserve">Role</t>
  </si>
  <si>
    <t xml:space="preserve">Question</t>
  </si>
  <si>
    <t xml:space="preserve">Listen for</t>
  </si>
  <si>
    <t xml:space="preserve">All roles</t>
  </si>
  <si>
    <t xml:space="preserve">Tell me about the last time you worked an event that went wrong. What happened, and what did you do?</t>
  </si>
  <si>
    <t xml:space="preserve">Specific story, ownership, calm action. Red flag: blames others.</t>
  </si>
  <si>
    <t xml:space="preserve">What's the earliest you've ever had to be at work, and how did you make sure you were on time?</t>
  </si>
  <si>
    <t xml:space="preserve">A real system: alarms, backup ride, planning ahead.</t>
  </si>
  <si>
    <t xml:space="preserve">Tell me about a time a coworker wasn't pulling their weight. What did you do?</t>
  </si>
  <si>
    <t xml:space="preserve">Addressed it respectfully or raised it. Not gossip, not silence.</t>
  </si>
  <si>
    <t xml:space="preserve">What did your last manager do that you liked? What would you have changed?</t>
  </si>
  <si>
    <t xml:space="preserve">Self-awareness. Red flag: everything was the manager's fault.</t>
  </si>
  <si>
    <t xml:space="preserve">What does a typical week of availability look like for you over the next three months?</t>
  </si>
  <si>
    <t xml:space="preserve">Honest, specific availability that matches your needs.</t>
  </si>
  <si>
    <t xml:space="preserve">Event Captain</t>
  </si>
  <si>
    <t xml:space="preserve">Walk me through how you'd run setup for a 150-person buffet with 5 staff.</t>
  </si>
  <si>
    <t xml:space="preserve">Clear order, delegation, a timeline, a check before doors open.</t>
  </si>
  <si>
    <t xml:space="preserve">Tell me about a time you had to correct someone older or more experienced than you.</t>
  </si>
  <si>
    <t xml:space="preserve">Respectful, direct, focused on the standard, not the person.</t>
  </si>
  <si>
    <t xml:space="preserve">A client comes to you mid-service, upset that a dish ran out. What do you do in the next five minutes?</t>
  </si>
  <si>
    <t xml:space="preserve">Acknowledge, act fast, follow up. Doesn't argue or blame the kitchen.</t>
  </si>
  <si>
    <t xml:space="preserve">How do you brief a team before an event? What do you cover?</t>
  </si>
  <si>
    <t xml:space="preserve">Timeline, roles, menu and allergens, client contact, standards.</t>
  </si>
  <si>
    <t xml:space="preserve">Lead Cook</t>
  </si>
  <si>
    <t xml:space="preserve">Tell me about the largest event you've cooked for. How did you plan the prep?</t>
  </si>
  <si>
    <t xml:space="preserve">Prep lists, timeline working backward, batching, holding.</t>
  </si>
  <si>
    <t xml:space="preserve">How do you keep food at safe temperatures from the kitchen to the event?</t>
  </si>
  <si>
    <t xml:space="preserve">Specific temps and equipment: hot boxes, cooling, logging.</t>
  </si>
  <si>
    <t xml:space="preserve">A recipe card says one thing and you think it would taste better another way. What do you do?</t>
  </si>
  <si>
    <t xml:space="preserve">Follows the card for the event, suggests the change separately.</t>
  </si>
  <si>
    <t xml:space="preserve">How do you handle a guest with a serious food allergy?</t>
  </si>
  <si>
    <t xml:space="preserve">Separate prep, labeling, clean tools, communicating with the captain.</t>
  </si>
  <si>
    <t xml:space="preserve">Event Server</t>
  </si>
  <si>
    <t xml:space="preserve">Tell me about a time a guest or customer was rude to you. What did you do?</t>
  </si>
  <si>
    <t xml:space="preserve">Stayed polite, got help if needed, didn't take it personally.</t>
  </si>
  <si>
    <t xml:space="preserve">What would you do if you finished your task and the captain was busy?</t>
  </si>
  <si>
    <t xml:space="preserve">Looks for the next thing, asks a teammate, doesn't stand around.</t>
  </si>
  <si>
    <t xml:space="preserve">Have you ever had to cancel a shift? How did you handle it?</t>
  </si>
  <si>
    <t xml:space="preserve">Gave notice, helped find coverage. Red flag: no-call no-show.</t>
  </si>
  <si>
    <t xml:space="preserve">NEVER ASK (ILLEGAL OR RISKY IN MOST PLACES)</t>
  </si>
  <si>
    <t xml:space="preserve">✕  Age, date of birth, or graduation year</t>
  </si>
  <si>
    <t xml:space="preserve">✕  Marital status, pregnancy, children, or childcare plans</t>
  </si>
  <si>
    <t xml:space="preserve">✕  Religion or which holidays they observe (you may ask if they can work the posted schedule)</t>
  </si>
  <si>
    <t xml:space="preserve">✕  National origin, accent, or citizenship (you may ask if they are authorized to work in the U.S.)</t>
  </si>
  <si>
    <t xml:space="preserve">✕  Disabilities, health conditions, or medications (you may ask if they can perform the essential duties)</t>
  </si>
  <si>
    <t xml:space="preserve">✕  Arrests (rules on convictions vary by state and city; check before asking)</t>
  </si>
  <si>
    <t xml:space="preserve">✕  Previous salary (banned in many states)</t>
  </si>
  <si>
    <t xml:space="preserve">This is general guidance, not legal advice. Check your state and city rules.</t>
  </si>
  <si>
    <t xml:space="preserve">The Catering People System | Module 4: Hiring and Staffing | trecoleman.com</t>
  </si>
  <si>
    <t xml:space="preserve">INTERVIEW SCORING SHEET</t>
  </si>
  <si>
    <t xml:space="preserve">The Catering People System | Module 4 | Score right after each interview, before you talk to anyone else</t>
  </si>
  <si>
    <t xml:space="preserve">Shaded cells = your inputs | Weight what matters most for the role (weights must add to 100%). Score 1-5.</t>
  </si>
  <si>
    <t xml:space="preserve">Criteria</t>
  </si>
  <si>
    <t xml:space="preserve">Weight</t>
  </si>
  <si>
    <t xml:space="preserve">Candidate 1</t>
  </si>
  <si>
    <t xml:space="preserve">Candidate 2</t>
  </si>
  <si>
    <t xml:space="preserve">Candidate 3</t>
  </si>
  <si>
    <t xml:space="preserve">Candidate 4</t>
  </si>
  <si>
    <t xml:space="preserve">Candidate name</t>
  </si>
  <si>
    <t xml:space="preserve">Alex R.</t>
  </si>
  <si>
    <t xml:space="preserve">Sam T.</t>
  </si>
  <si>
    <t xml:space="preserve">Reliability and availability</t>
  </si>
  <si>
    <t xml:space="preserve">Relevant experience</t>
  </si>
  <si>
    <t xml:space="preserve">Leadership / teamwork</t>
  </si>
  <si>
    <t xml:space="preserve">Calm under pressure</t>
  </si>
  <si>
    <t xml:space="preserve">Food safety and standards</t>
  </si>
  <si>
    <t xml:space="preserve">Fit with how we work (brand card)</t>
  </si>
  <si>
    <t xml:space="preserve">Weights total (must be 100%)</t>
  </si>
  <si>
    <t xml:space="preserve">Interview score (out of 5)</t>
  </si>
  <si>
    <t xml:space="preserve">Working interview score (out of 40)</t>
  </si>
  <si>
    <t xml:space="preserve">Overall (out of 100)</t>
  </si>
  <si>
    <t xml:space="preserve">Recommendation</t>
  </si>
  <si>
    <t xml:space="preserve">Overall = interview (50%) + working interview (50%). If no working interview yet, the interview score counts 100%.</t>
  </si>
  <si>
    <t xml:space="preserve">REFERENCE CHECK (2 QUESTIONS THAT MATTER)</t>
  </si>
  <si>
    <t xml:space="preserve">"Would you hire them again? Why or why not?"</t>
  </si>
  <si>
    <t xml:space="preserve">"How were they on time and attendance?"</t>
  </si>
  <si>
    <t xml:space="preserve">CANDIDATE PIPELINE</t>
  </si>
  <si>
    <t xml:space="preserve">The Catering People System | Module 4 | Move fast. Good event staff get hired in days.</t>
  </si>
  <si>
    <t xml:space="preserve">Shaded cells = your inputs | Row 1 is a filled example.</t>
  </si>
  <si>
    <t xml:space="preserve">Date applied</t>
  </si>
  <si>
    <t xml:space="preserve">Name</t>
  </si>
  <si>
    <t xml:space="preserve">Source</t>
  </si>
  <si>
    <t xml:space="preserve">Stage</t>
  </si>
  <si>
    <t xml:space="preserve">Score</t>
  </si>
  <si>
    <t xml:space="preserve">Days open</t>
  </si>
  <si>
    <t xml:space="preserve">Next step / notes</t>
  </si>
  <si>
    <t xml:space="preserve">Staff referral</t>
  </si>
  <si>
    <t xml:space="preserve">Working interview</t>
  </si>
  <si>
    <t xml:space="preserve">Trial shift Sat; decide by Mon</t>
  </si>
  <si>
    <t xml:space="preserve">SUMMARY</t>
  </si>
  <si>
    <t xml:space="preserve">Applicants</t>
  </si>
  <si>
    <t xml:space="preserve">Hired</t>
  </si>
  <si>
    <t xml:space="preserve">Hires from staff referrals</t>
  </si>
  <si>
    <t xml:space="preserve">Open candidates waiting 7+ days</t>
  </si>
  <si>
    <t xml:space="preserve">Red = a candidate has waited over a week. Decide or let them know.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</si>
</sst>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0"/>
    <numFmt numFmtId="168" formatCode="mm/dd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sz val="9"/>
      <color rgb="FF55524B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sz val="9"/>
      <color rgb="FFA3121D"/>
      <name val="Arial"/>
      <family val="0"/>
      <charset val="1"/>
    </font>
    <font>
      <i val="true"/>
      <sz val="9"/>
      <color rgb="FF55524B"/>
      <name val="Arial"/>
      <family val="0"/>
      <charset val="1"/>
    </font>
    <font>
      <sz val="8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F4F1EA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1A1917"/>
        <bgColor rgb="FF0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  <border diagonalUp="false" diagonalDown="false">
      <left style="thin">
        <color rgb="FFA39A86"/>
      </left>
      <right/>
      <top style="thin">
        <color rgb="FFA39A86"/>
      </top>
      <bottom style="thin">
        <color rgb="FFA39A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3121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4" t="s">
        <v>2</v>
      </c>
      <c r="B3" s="2"/>
      <c r="C3" s="2"/>
    </row>
    <row r="4" customFormat="false" ht="15" hidden="false" customHeight="false" outlineLevel="0" collapsed="false">
      <c r="A4" s="2"/>
      <c r="B4" s="2"/>
      <c r="C4" s="2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31.5" hidden="false" customHeight="true" outlineLevel="0" collapsed="false">
      <c r="A6" s="6" t="s">
        <v>6</v>
      </c>
      <c r="B6" s="7" t="s">
        <v>7</v>
      </c>
      <c r="C6" s="8" t="s">
        <v>8</v>
      </c>
    </row>
    <row r="7" customFormat="false" ht="31.5" hidden="false" customHeight="true" outlineLevel="0" collapsed="false">
      <c r="A7" s="6" t="s">
        <v>6</v>
      </c>
      <c r="B7" s="7" t="s">
        <v>9</v>
      </c>
      <c r="C7" s="8" t="s">
        <v>10</v>
      </c>
    </row>
    <row r="8" customFormat="false" ht="31.5" hidden="false" customHeight="true" outlineLevel="0" collapsed="false">
      <c r="A8" s="6" t="s">
        <v>6</v>
      </c>
      <c r="B8" s="7" t="s">
        <v>11</v>
      </c>
      <c r="C8" s="8" t="s">
        <v>12</v>
      </c>
    </row>
    <row r="9" customFormat="false" ht="31.5" hidden="false" customHeight="true" outlineLevel="0" collapsed="false">
      <c r="A9" s="6" t="s">
        <v>6</v>
      </c>
      <c r="B9" s="7" t="s">
        <v>13</v>
      </c>
      <c r="C9" s="8" t="s">
        <v>14</v>
      </c>
    </row>
    <row r="10" customFormat="false" ht="31.5" hidden="false" customHeight="true" outlineLevel="0" collapsed="false">
      <c r="A10" s="6" t="s">
        <v>6</v>
      </c>
      <c r="B10" s="7" t="s">
        <v>15</v>
      </c>
      <c r="C10" s="8" t="s">
        <v>16</v>
      </c>
    </row>
    <row r="11" customFormat="false" ht="31.5" hidden="false" customHeight="true" outlineLevel="0" collapsed="false">
      <c r="A11" s="6" t="s">
        <v>17</v>
      </c>
      <c r="B11" s="7" t="s">
        <v>18</v>
      </c>
      <c r="C11" s="8" t="s">
        <v>19</v>
      </c>
    </row>
    <row r="12" customFormat="false" ht="31.5" hidden="false" customHeight="true" outlineLevel="0" collapsed="false">
      <c r="A12" s="6" t="s">
        <v>17</v>
      </c>
      <c r="B12" s="7" t="s">
        <v>20</v>
      </c>
      <c r="C12" s="8" t="s">
        <v>21</v>
      </c>
    </row>
    <row r="13" customFormat="false" ht="31.5" hidden="false" customHeight="true" outlineLevel="0" collapsed="false">
      <c r="A13" s="6" t="s">
        <v>17</v>
      </c>
      <c r="B13" s="7" t="s">
        <v>22</v>
      </c>
      <c r="C13" s="8" t="s">
        <v>23</v>
      </c>
    </row>
    <row r="14" customFormat="false" ht="31.5" hidden="false" customHeight="true" outlineLevel="0" collapsed="false">
      <c r="A14" s="6" t="s">
        <v>17</v>
      </c>
      <c r="B14" s="7" t="s">
        <v>24</v>
      </c>
      <c r="C14" s="8" t="s">
        <v>25</v>
      </c>
    </row>
    <row r="15" customFormat="false" ht="31.5" hidden="false" customHeight="true" outlineLevel="0" collapsed="false">
      <c r="A15" s="6" t="s">
        <v>26</v>
      </c>
      <c r="B15" s="7" t="s">
        <v>27</v>
      </c>
      <c r="C15" s="8" t="s">
        <v>28</v>
      </c>
    </row>
    <row r="16" customFormat="false" ht="31.5" hidden="false" customHeight="true" outlineLevel="0" collapsed="false">
      <c r="A16" s="6" t="s">
        <v>26</v>
      </c>
      <c r="B16" s="7" t="s">
        <v>29</v>
      </c>
      <c r="C16" s="8" t="s">
        <v>30</v>
      </c>
    </row>
    <row r="17" customFormat="false" ht="31.5" hidden="false" customHeight="true" outlineLevel="0" collapsed="false">
      <c r="A17" s="6" t="s">
        <v>26</v>
      </c>
      <c r="B17" s="7" t="s">
        <v>31</v>
      </c>
      <c r="C17" s="8" t="s">
        <v>32</v>
      </c>
    </row>
    <row r="18" customFormat="false" ht="31.5" hidden="false" customHeight="true" outlineLevel="0" collapsed="false">
      <c r="A18" s="6" t="s">
        <v>26</v>
      </c>
      <c r="B18" s="7" t="s">
        <v>33</v>
      </c>
      <c r="C18" s="8" t="s">
        <v>34</v>
      </c>
    </row>
    <row r="19" customFormat="false" ht="31.5" hidden="false" customHeight="true" outlineLevel="0" collapsed="false">
      <c r="A19" s="6" t="s">
        <v>35</v>
      </c>
      <c r="B19" s="7" t="s">
        <v>36</v>
      </c>
      <c r="C19" s="8" t="s">
        <v>37</v>
      </c>
    </row>
    <row r="20" customFormat="false" ht="31.5" hidden="false" customHeight="true" outlineLevel="0" collapsed="false">
      <c r="A20" s="6" t="s">
        <v>35</v>
      </c>
      <c r="B20" s="7" t="s">
        <v>38</v>
      </c>
      <c r="C20" s="8" t="s">
        <v>39</v>
      </c>
    </row>
    <row r="21" customFormat="false" ht="31.5" hidden="false" customHeight="true" outlineLevel="0" collapsed="false">
      <c r="A21" s="6" t="s">
        <v>35</v>
      </c>
      <c r="B21" s="7" t="s">
        <v>40</v>
      </c>
      <c r="C21" s="8" t="s">
        <v>41</v>
      </c>
    </row>
    <row r="22" customFormat="false" ht="15" hidden="false" customHeight="false" outlineLevel="0" collapsed="false">
      <c r="A22" s="2"/>
      <c r="B22" s="2"/>
      <c r="C22" s="2"/>
    </row>
    <row r="23" customFormat="false" ht="19.5" hidden="false" customHeight="true" outlineLevel="0" collapsed="false">
      <c r="A23" s="9" t="s">
        <v>42</v>
      </c>
      <c r="B23" s="9"/>
      <c r="C23" s="9"/>
    </row>
    <row r="24" customFormat="false" ht="15" hidden="false" customHeight="true" outlineLevel="0" collapsed="false">
      <c r="A24" s="10" t="s">
        <v>43</v>
      </c>
      <c r="B24" s="10"/>
      <c r="C24" s="10"/>
    </row>
    <row r="25" customFormat="false" ht="15" hidden="false" customHeight="true" outlineLevel="0" collapsed="false">
      <c r="A25" s="10" t="s">
        <v>44</v>
      </c>
      <c r="B25" s="10"/>
      <c r="C25" s="10"/>
    </row>
    <row r="26" customFormat="false" ht="15" hidden="false" customHeight="true" outlineLevel="0" collapsed="false">
      <c r="A26" s="10" t="s">
        <v>45</v>
      </c>
      <c r="B26" s="10"/>
      <c r="C26" s="10"/>
    </row>
    <row r="27" customFormat="false" ht="15" hidden="false" customHeight="true" outlineLevel="0" collapsed="false">
      <c r="A27" s="10" t="s">
        <v>46</v>
      </c>
      <c r="B27" s="10"/>
      <c r="C27" s="10"/>
    </row>
    <row r="28" customFormat="false" ht="15" hidden="false" customHeight="true" outlineLevel="0" collapsed="false">
      <c r="A28" s="10" t="s">
        <v>47</v>
      </c>
      <c r="B28" s="10"/>
      <c r="C28" s="10"/>
    </row>
    <row r="29" customFormat="false" ht="15" hidden="false" customHeight="true" outlineLevel="0" collapsed="false">
      <c r="A29" s="10" t="s">
        <v>48</v>
      </c>
      <c r="B29" s="10"/>
      <c r="C29" s="10"/>
    </row>
    <row r="30" customFormat="false" ht="15" hidden="false" customHeight="true" outlineLevel="0" collapsed="false">
      <c r="A30" s="10" t="s">
        <v>49</v>
      </c>
      <c r="B30" s="10"/>
      <c r="C30" s="10"/>
    </row>
    <row r="31" customFormat="false" ht="15" hidden="false" customHeight="false" outlineLevel="0" collapsed="false">
      <c r="A31" s="2"/>
      <c r="B31" s="2"/>
      <c r="C31" s="2"/>
    </row>
    <row r="32" customFormat="false" ht="15" hidden="false" customHeight="false" outlineLevel="0" collapsed="false">
      <c r="A32" s="11" t="s">
        <v>50</v>
      </c>
      <c r="B32" s="2"/>
      <c r="C32" s="2"/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12" t="s">
        <v>51</v>
      </c>
      <c r="B34" s="2"/>
      <c r="C34" s="2"/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2"/>
      <c r="B37" s="2"/>
      <c r="C37" s="2"/>
    </row>
    <row r="38" customFormat="false" ht="15" hidden="false" customHeight="false" outlineLevel="0" collapsed="false">
      <c r="A38" s="2"/>
      <c r="B38" s="2"/>
      <c r="C38" s="2"/>
    </row>
    <row r="39" customFormat="false" ht="15" hidden="false" customHeight="false" outlineLevel="0" collapsed="false">
      <c r="A39" s="2"/>
      <c r="B39" s="2"/>
      <c r="C39" s="2"/>
    </row>
    <row r="40" customFormat="false" ht="15" hidden="false" customHeight="false" outlineLevel="0" collapsed="false">
      <c r="A40" s="2"/>
      <c r="B40" s="2"/>
      <c r="C40" s="2"/>
    </row>
    <row r="41" customFormat="false" ht="15" hidden="false" customHeight="false" outlineLevel="0" collapsed="false">
      <c r="A41" s="2"/>
      <c r="B41" s="2"/>
      <c r="C41" s="2"/>
    </row>
    <row r="42" customFormat="false" ht="15" hidden="false" customHeight="false" outlineLevel="0" collapsed="false">
      <c r="A42" s="2"/>
      <c r="B42" s="2"/>
      <c r="C42" s="2"/>
    </row>
    <row r="43" customFormat="false" ht="15" hidden="false" customHeight="false" outlineLevel="0" collapsed="false">
      <c r="A43" s="2"/>
      <c r="B43" s="2"/>
      <c r="C43" s="2"/>
    </row>
    <row r="44" customFormat="false" ht="15" hidden="false" customHeight="false" outlineLevel="0" collapsed="false">
      <c r="A44" s="2"/>
      <c r="B44" s="2"/>
      <c r="C44" s="2"/>
    </row>
    <row r="45" customFormat="false" ht="15" hidden="false" customHeight="false" outlineLevel="0" collapsed="false">
      <c r="A45" s="2"/>
      <c r="B45" s="2"/>
      <c r="C45" s="2"/>
    </row>
    <row r="46" customFormat="false" ht="15" hidden="false" customHeight="false" outlineLevel="0" collapsed="false">
      <c r="A46" s="2"/>
      <c r="B46" s="2"/>
      <c r="C46" s="2"/>
    </row>
    <row r="47" customFormat="false" ht="15" hidden="false" customHeight="false" outlineLevel="0" collapsed="false">
      <c r="A47" s="2"/>
      <c r="B47" s="2"/>
      <c r="C47" s="2"/>
    </row>
    <row r="48" customFormat="false" ht="15" hidden="false" customHeight="false" outlineLevel="0" collapsed="false">
      <c r="A48" s="2"/>
      <c r="B48" s="2"/>
      <c r="C48" s="2"/>
    </row>
    <row r="49" customFormat="false" ht="15" hidden="false" customHeight="false" outlineLevel="0" collapsed="false">
      <c r="A49" s="2"/>
      <c r="B49" s="2"/>
      <c r="C49" s="2"/>
    </row>
    <row r="50" customFormat="false" ht="15" hidden="false" customHeight="false" outlineLevel="0" collapsed="false">
      <c r="A50" s="2"/>
      <c r="B50" s="2"/>
      <c r="C50" s="2"/>
    </row>
    <row r="51" customFormat="false" ht="15" hidden="false" customHeight="false" outlineLevel="0" collapsed="false">
      <c r="A51" s="2"/>
      <c r="B51" s="2"/>
      <c r="C51" s="2"/>
    </row>
    <row r="52" customFormat="false" ht="15" hidden="false" customHeight="false" outlineLevel="0" collapsed="false">
      <c r="A52" s="2"/>
      <c r="B52" s="2"/>
      <c r="C52" s="2"/>
    </row>
    <row r="53" customFormat="false" ht="15" hidden="false" customHeight="false" outlineLevel="0" collapsed="false">
      <c r="A53" s="2"/>
      <c r="B53" s="2"/>
      <c r="C53" s="2"/>
    </row>
    <row r="54" customFormat="false" ht="15" hidden="false" customHeight="false" outlineLevel="0" collapsed="false">
      <c r="A54" s="2"/>
      <c r="B54" s="2"/>
      <c r="C54" s="2"/>
    </row>
    <row r="55" customFormat="false" ht="15" hidden="false" customHeight="false" outlineLevel="0" collapsed="false">
      <c r="A55" s="2"/>
      <c r="B55" s="2"/>
      <c r="C55" s="2"/>
    </row>
    <row r="56" customFormat="false" ht="15" hidden="false" customHeight="false" outlineLevel="0" collapsed="false">
      <c r="A56" s="2"/>
      <c r="B56" s="2"/>
      <c r="C56" s="2"/>
    </row>
    <row r="57" customFormat="false" ht="15" hidden="false" customHeight="false" outlineLevel="0" collapsed="false">
      <c r="A57" s="2"/>
      <c r="B57" s="2"/>
      <c r="C57" s="2"/>
    </row>
    <row r="58" customFormat="false" ht="15" hidden="false" customHeight="false" outlineLevel="0" collapsed="false">
      <c r="A58" s="2"/>
      <c r="B58" s="2"/>
      <c r="C58" s="2"/>
    </row>
    <row r="59" customFormat="false" ht="15" hidden="false" customHeight="false" outlineLevel="0" collapsed="false">
      <c r="A59" s="2"/>
      <c r="B59" s="2"/>
      <c r="C59" s="2"/>
    </row>
    <row r="60" customFormat="false" ht="15" hidden="false" customHeight="false" outlineLevel="0" collapsed="false">
      <c r="A60" s="2"/>
      <c r="B60" s="2"/>
      <c r="C60" s="2"/>
    </row>
    <row r="61" customFormat="false" ht="15" hidden="false" customHeight="false" outlineLevel="0" collapsed="false">
      <c r="A61" s="2"/>
      <c r="B61" s="2"/>
      <c r="C61" s="2"/>
    </row>
    <row r="62" customFormat="false" ht="15" hidden="false" customHeight="false" outlineLevel="0" collapsed="false">
      <c r="A62" s="2"/>
      <c r="B62" s="2"/>
      <c r="C62" s="2"/>
    </row>
    <row r="63" customFormat="false" ht="15" hidden="false" customHeight="false" outlineLevel="0" collapsed="false">
      <c r="A63" s="2"/>
      <c r="B63" s="2"/>
      <c r="C63" s="2"/>
    </row>
    <row r="64" customFormat="false" ht="15" hidden="false" customHeight="false" outlineLevel="0" collapsed="false">
      <c r="A64" s="2"/>
      <c r="B64" s="2"/>
      <c r="C64" s="2"/>
    </row>
    <row r="65" customFormat="false" ht="15" hidden="false" customHeight="false" outlineLevel="0" collapsed="false">
      <c r="A65" s="2"/>
      <c r="B65" s="2"/>
      <c r="C65" s="2"/>
    </row>
    <row r="66" customFormat="false" ht="15" hidden="false" customHeight="false" outlineLevel="0" collapsed="false">
      <c r="A66" s="2"/>
      <c r="B66" s="2"/>
      <c r="C66" s="2"/>
    </row>
    <row r="67" customFormat="false" ht="15" hidden="false" customHeight="false" outlineLevel="0" collapsed="false">
      <c r="A67" s="2"/>
      <c r="B67" s="2"/>
      <c r="C67" s="2"/>
    </row>
    <row r="68" customFormat="false" ht="15" hidden="false" customHeight="false" outlineLevel="0" collapsed="false">
      <c r="A68" s="2"/>
      <c r="B68" s="2"/>
      <c r="C68" s="2"/>
    </row>
    <row r="69" customFormat="false" ht="15" hidden="false" customHeight="false" outlineLevel="0" collapsed="false">
      <c r="A69" s="2"/>
      <c r="B69" s="2"/>
      <c r="C69" s="2"/>
    </row>
    <row r="70" customFormat="false" ht="15" hidden="false" customHeight="false" outlineLevel="0" collapsed="false">
      <c r="A70" s="2"/>
      <c r="B70" s="2"/>
      <c r="C70" s="2"/>
    </row>
    <row r="71" customFormat="false" ht="15" hidden="false" customHeight="false" outlineLevel="0" collapsed="false">
      <c r="A71" s="2"/>
      <c r="B71" s="2"/>
      <c r="C71" s="2"/>
    </row>
    <row r="72" customFormat="false" ht="15" hidden="false" customHeight="false" outlineLevel="0" collapsed="false">
      <c r="A72" s="2"/>
      <c r="B72" s="2"/>
      <c r="C72" s="2"/>
    </row>
    <row r="73" customFormat="false" ht="15" hidden="false" customHeight="false" outlineLevel="0" collapsed="false">
      <c r="A73" s="2"/>
      <c r="B73" s="2"/>
      <c r="C73" s="2"/>
    </row>
    <row r="74" customFormat="false" ht="15" hidden="false" customHeight="false" outlineLevel="0" collapsed="false">
      <c r="A74" s="2"/>
      <c r="B74" s="2"/>
      <c r="C74" s="2"/>
    </row>
    <row r="75" customFormat="false" ht="15" hidden="false" customHeight="false" outlineLevel="0" collapsed="false">
      <c r="A75" s="2"/>
      <c r="B75" s="2"/>
      <c r="C75" s="2"/>
    </row>
    <row r="76" customFormat="false" ht="15" hidden="false" customHeight="false" outlineLevel="0" collapsed="false">
      <c r="A76" s="2"/>
      <c r="B76" s="2"/>
      <c r="C76" s="2"/>
    </row>
    <row r="77" customFormat="false" ht="15" hidden="false" customHeight="false" outlineLevel="0" collapsed="false">
      <c r="A77" s="2"/>
      <c r="B77" s="2"/>
      <c r="C77" s="2"/>
    </row>
    <row r="78" customFormat="false" ht="15" hidden="false" customHeight="false" outlineLevel="0" collapsed="false">
      <c r="A78" s="2"/>
      <c r="B78" s="2"/>
      <c r="C78" s="2"/>
    </row>
    <row r="79" customFormat="false" ht="15" hidden="false" customHeight="false" outlineLevel="0" collapsed="false">
      <c r="A79" s="2"/>
      <c r="B79" s="2"/>
      <c r="C79" s="2"/>
    </row>
    <row r="80" customFormat="false" ht="15" hidden="false" customHeight="false" outlineLevel="0" collapsed="false">
      <c r="A80" s="2"/>
      <c r="B80" s="2"/>
      <c r="C80" s="2"/>
    </row>
    <row r="81" customFormat="false" ht="15" hidden="false" customHeight="false" outlineLevel="0" collapsed="false">
      <c r="A81" s="2"/>
      <c r="B81" s="2"/>
      <c r="C81" s="2"/>
    </row>
    <row r="82" customFormat="false" ht="15" hidden="false" customHeight="false" outlineLevel="0" collapsed="false">
      <c r="A82" s="2"/>
      <c r="B82" s="2"/>
      <c r="C82" s="2"/>
    </row>
    <row r="83" customFormat="false" ht="15" hidden="false" customHeight="false" outlineLevel="0" collapsed="false">
      <c r="A83" s="2"/>
      <c r="B83" s="2"/>
      <c r="C83" s="2"/>
    </row>
    <row r="84" customFormat="false" ht="15" hidden="false" customHeight="false" outlineLevel="0" collapsed="false">
      <c r="A84" s="2"/>
      <c r="B84" s="2"/>
      <c r="C84" s="2"/>
    </row>
    <row r="85" customFormat="false" ht="15" hidden="false" customHeight="false" outlineLevel="0" collapsed="false">
      <c r="A85" s="2"/>
      <c r="B85" s="2"/>
      <c r="C85" s="2"/>
    </row>
    <row r="86" customFormat="false" ht="15" hidden="false" customHeight="false" outlineLevel="0" collapsed="false">
      <c r="A86" s="2"/>
      <c r="B86" s="2"/>
      <c r="C86" s="2"/>
    </row>
    <row r="87" customFormat="false" ht="15" hidden="false" customHeight="false" outlineLevel="0" collapsed="false">
      <c r="A87" s="2"/>
      <c r="B87" s="2"/>
      <c r="C87" s="2"/>
    </row>
    <row r="88" customFormat="false" ht="15" hidden="false" customHeight="false" outlineLevel="0" collapsed="false">
      <c r="A88" s="2"/>
      <c r="B88" s="2"/>
      <c r="C88" s="2"/>
    </row>
    <row r="89" customFormat="false" ht="15" hidden="false" customHeight="false" outlineLevel="0" collapsed="false">
      <c r="A89" s="2"/>
      <c r="B89" s="2"/>
      <c r="C89" s="2"/>
    </row>
    <row r="90" customFormat="false" ht="15" hidden="false" customHeight="false" outlineLevel="0" collapsed="false">
      <c r="A90" s="2"/>
      <c r="B90" s="2"/>
      <c r="C90" s="2"/>
    </row>
    <row r="91" customFormat="false" ht="15" hidden="false" customHeight="false" outlineLevel="0" collapsed="false">
      <c r="A91" s="2"/>
      <c r="B91" s="2"/>
      <c r="C91" s="2"/>
    </row>
    <row r="92" customFormat="false" ht="15" hidden="false" customHeight="false" outlineLevel="0" collapsed="false">
      <c r="A92" s="2"/>
      <c r="B92" s="2"/>
      <c r="C92" s="2"/>
    </row>
    <row r="93" customFormat="false" ht="15" hidden="false" customHeight="false" outlineLevel="0" collapsed="false">
      <c r="A93" s="2"/>
      <c r="B93" s="2"/>
      <c r="C93" s="2"/>
    </row>
    <row r="94" customFormat="false" ht="15" hidden="false" customHeight="false" outlineLevel="0" collapsed="false">
      <c r="A94" s="2"/>
      <c r="B94" s="2"/>
      <c r="C94" s="2"/>
    </row>
    <row r="95" customFormat="false" ht="15" hidden="false" customHeight="false" outlineLevel="0" collapsed="false">
      <c r="A95" s="2"/>
      <c r="B95" s="2"/>
      <c r="C95" s="2"/>
    </row>
    <row r="96" customFormat="false" ht="15" hidden="false" customHeight="false" outlineLevel="0" collapsed="false">
      <c r="A96" s="2"/>
      <c r="B96" s="2"/>
      <c r="C96" s="2"/>
    </row>
    <row r="97" customFormat="false" ht="15" hidden="false" customHeight="false" outlineLevel="0" collapsed="false">
      <c r="A97" s="2"/>
      <c r="B97" s="2"/>
      <c r="C97" s="2"/>
    </row>
    <row r="98" customFormat="false" ht="15" hidden="false" customHeight="false" outlineLevel="0" collapsed="false">
      <c r="A98" s="2"/>
      <c r="B98" s="2"/>
      <c r="C98" s="2"/>
    </row>
    <row r="99" customFormat="false" ht="15" hidden="false" customHeight="false" outlineLevel="0" collapsed="false">
      <c r="A99" s="2"/>
      <c r="B99" s="2"/>
      <c r="C99" s="2"/>
    </row>
    <row r="100" customFormat="false" ht="15" hidden="false" customHeight="false" outlineLevel="0" collapsed="false">
      <c r="A100" s="2"/>
      <c r="B100" s="2"/>
      <c r="C100" s="2"/>
    </row>
    <row r="101" customFormat="false" ht="15" hidden="false" customHeight="false" outlineLevel="0" collapsed="false">
      <c r="A101" s="2"/>
      <c r="B101" s="2"/>
      <c r="C101" s="2"/>
    </row>
    <row r="102" customFormat="false" ht="15" hidden="false" customHeight="false" outlineLevel="0" collapsed="false">
      <c r="A102" s="2"/>
      <c r="B102" s="2"/>
      <c r="C102" s="2"/>
    </row>
    <row r="103" customFormat="false" ht="15" hidden="false" customHeight="false" outlineLevel="0" collapsed="false">
      <c r="A103" s="2"/>
      <c r="B103" s="2"/>
      <c r="C103" s="2"/>
    </row>
    <row r="104" customFormat="false" ht="15" hidden="false" customHeight="false" outlineLevel="0" collapsed="false">
      <c r="A104" s="2"/>
      <c r="B104" s="2"/>
      <c r="C104" s="2"/>
    </row>
    <row r="105" customFormat="false" ht="15" hidden="false" customHeight="false" outlineLevel="0" collapsed="false">
      <c r="A105" s="2"/>
      <c r="B105" s="2"/>
      <c r="C105" s="2"/>
    </row>
    <row r="106" customFormat="false" ht="15" hidden="false" customHeight="false" outlineLevel="0" collapsed="false">
      <c r="A106" s="2"/>
      <c r="B106" s="2"/>
      <c r="C106" s="2"/>
    </row>
    <row r="107" customFormat="false" ht="15" hidden="false" customHeight="false" outlineLevel="0" collapsed="false">
      <c r="A107" s="2"/>
      <c r="B107" s="2"/>
      <c r="C107" s="2"/>
    </row>
    <row r="108" customFormat="false" ht="15" hidden="false" customHeight="false" outlineLevel="0" collapsed="false">
      <c r="A108" s="2"/>
      <c r="B108" s="2"/>
      <c r="C108" s="2"/>
    </row>
    <row r="109" customFormat="false" ht="15" hidden="false" customHeight="false" outlineLevel="0" collapsed="false">
      <c r="A109" s="2"/>
      <c r="B109" s="2"/>
      <c r="C109" s="2"/>
    </row>
    <row r="110" customFormat="false" ht="15" hidden="false" customHeight="false" outlineLevel="0" collapsed="false">
      <c r="A110" s="2"/>
      <c r="B110" s="2"/>
      <c r="C110" s="2"/>
    </row>
    <row r="111" customFormat="false" ht="15" hidden="false" customHeight="false" outlineLevel="0" collapsed="false">
      <c r="A111" s="2"/>
      <c r="B111" s="2"/>
      <c r="C111" s="2"/>
    </row>
    <row r="112" customFormat="false" ht="15" hidden="false" customHeight="false" outlineLevel="0" collapsed="false">
      <c r="A112" s="2"/>
      <c r="B112" s="2"/>
      <c r="C112" s="2"/>
    </row>
    <row r="113" customFormat="false" ht="15" hidden="false" customHeight="false" outlineLevel="0" collapsed="false">
      <c r="A113" s="2"/>
      <c r="B113" s="2"/>
      <c r="C113" s="2"/>
    </row>
    <row r="114" customFormat="false" ht="15" hidden="false" customHeight="false" outlineLevel="0" collapsed="false">
      <c r="A114" s="2"/>
      <c r="B114" s="2"/>
      <c r="C114" s="2"/>
    </row>
    <row r="115" customFormat="false" ht="15" hidden="false" customHeight="false" outlineLevel="0" collapsed="false">
      <c r="A115" s="2"/>
      <c r="B115" s="2"/>
      <c r="C115" s="2"/>
    </row>
    <row r="116" customFormat="false" ht="15" hidden="false" customHeight="false" outlineLevel="0" collapsed="false">
      <c r="A116" s="2"/>
      <c r="B116" s="2"/>
      <c r="C116" s="2"/>
    </row>
    <row r="117" customFormat="false" ht="15" hidden="false" customHeight="false" outlineLevel="0" collapsed="false">
      <c r="A117" s="2"/>
      <c r="B117" s="2"/>
      <c r="C117" s="2"/>
    </row>
    <row r="118" customFormat="false" ht="15" hidden="false" customHeight="false" outlineLevel="0" collapsed="false">
      <c r="A118" s="2"/>
      <c r="B118" s="2"/>
      <c r="C118" s="2"/>
    </row>
    <row r="119" customFormat="false" ht="15" hidden="false" customHeight="false" outlineLevel="0" collapsed="false">
      <c r="A119" s="2"/>
      <c r="B119" s="2"/>
      <c r="C119" s="2"/>
    </row>
    <row r="120" customFormat="false" ht="15" hidden="false" customHeight="false" outlineLevel="0" collapsed="false">
      <c r="A120" s="2"/>
      <c r="B120" s="2"/>
      <c r="C120" s="2"/>
    </row>
    <row r="121" customFormat="false" ht="15" hidden="false" customHeight="false" outlineLevel="0" collapsed="false">
      <c r="A121" s="2"/>
      <c r="B121" s="2"/>
      <c r="C121" s="2"/>
    </row>
    <row r="122" customFormat="false" ht="15" hidden="false" customHeight="false" outlineLevel="0" collapsed="false">
      <c r="A122" s="2"/>
      <c r="B122" s="2"/>
      <c r="C122" s="2"/>
    </row>
    <row r="123" customFormat="false" ht="15" hidden="false" customHeight="false" outlineLevel="0" collapsed="false">
      <c r="A123" s="2"/>
      <c r="B123" s="2"/>
      <c r="C123" s="2"/>
    </row>
    <row r="124" customFormat="false" ht="15" hidden="false" customHeight="false" outlineLevel="0" collapsed="false">
      <c r="A124" s="2"/>
      <c r="B124" s="2"/>
      <c r="C124" s="2"/>
    </row>
    <row r="125" customFormat="false" ht="15" hidden="false" customHeight="false" outlineLevel="0" collapsed="false">
      <c r="A125" s="2"/>
      <c r="B125" s="2"/>
      <c r="C125" s="2"/>
    </row>
    <row r="126" customFormat="false" ht="15" hidden="false" customHeight="false" outlineLevel="0" collapsed="false">
      <c r="A126" s="2"/>
      <c r="B126" s="2"/>
      <c r="C126" s="2"/>
    </row>
    <row r="127" customFormat="false" ht="15" hidden="false" customHeight="false" outlineLevel="0" collapsed="false">
      <c r="A127" s="2"/>
      <c r="B127" s="2"/>
      <c r="C127" s="2"/>
    </row>
    <row r="128" customFormat="false" ht="15" hidden="false" customHeight="false" outlineLevel="0" collapsed="false">
      <c r="A128" s="2"/>
      <c r="B128" s="2"/>
      <c r="C128" s="2"/>
    </row>
    <row r="129" customFormat="false" ht="15" hidden="false" customHeight="false" outlineLevel="0" collapsed="false">
      <c r="A129" s="2"/>
      <c r="B129" s="2"/>
      <c r="C129" s="2"/>
    </row>
    <row r="130" customFormat="false" ht="15" hidden="false" customHeight="false" outlineLevel="0" collapsed="false">
      <c r="A130" s="2"/>
      <c r="B130" s="2"/>
      <c r="C130" s="2"/>
    </row>
    <row r="131" customFormat="false" ht="15" hidden="false" customHeight="false" outlineLevel="0" collapsed="false">
      <c r="A131" s="2"/>
      <c r="B131" s="2"/>
      <c r="C131" s="2"/>
    </row>
    <row r="132" customFormat="false" ht="15" hidden="false" customHeight="false" outlineLevel="0" collapsed="false">
      <c r="A132" s="2"/>
      <c r="B132" s="2"/>
      <c r="C132" s="2"/>
    </row>
    <row r="133" customFormat="false" ht="15" hidden="false" customHeight="false" outlineLevel="0" collapsed="false">
      <c r="A133" s="2"/>
      <c r="B133" s="2"/>
      <c r="C133" s="2"/>
    </row>
    <row r="134" customFormat="false" ht="15" hidden="false" customHeight="false" outlineLevel="0" collapsed="false">
      <c r="A134" s="2"/>
      <c r="B134" s="2"/>
      <c r="C134" s="2"/>
    </row>
    <row r="135" customFormat="false" ht="15" hidden="false" customHeight="false" outlineLevel="0" collapsed="false">
      <c r="A135" s="2"/>
      <c r="B135" s="2"/>
      <c r="C135" s="2"/>
    </row>
    <row r="136" customFormat="false" ht="15" hidden="false" customHeight="false" outlineLevel="0" collapsed="false">
      <c r="A136" s="2"/>
      <c r="B136" s="2"/>
      <c r="C136" s="2"/>
    </row>
    <row r="137" customFormat="false" ht="15" hidden="false" customHeight="false" outlineLevel="0" collapsed="false">
      <c r="A137" s="2"/>
      <c r="B137" s="2"/>
      <c r="C137" s="2"/>
    </row>
    <row r="138" customFormat="false" ht="15" hidden="false" customHeight="false" outlineLevel="0" collapsed="false">
      <c r="A138" s="2"/>
      <c r="B138" s="2"/>
      <c r="C138" s="2"/>
    </row>
    <row r="139" customFormat="false" ht="15" hidden="false" customHeight="false" outlineLevel="0" collapsed="false">
      <c r="A139" s="2"/>
      <c r="B139" s="2"/>
      <c r="C139" s="2"/>
    </row>
    <row r="140" customFormat="false" ht="15" hidden="false" customHeight="false" outlineLevel="0" collapsed="false">
      <c r="A140" s="2"/>
      <c r="B140" s="2"/>
      <c r="C140" s="2"/>
    </row>
    <row r="141" customFormat="false" ht="15" hidden="false" customHeight="false" outlineLevel="0" collapsed="false">
      <c r="A141" s="2"/>
      <c r="B141" s="2"/>
      <c r="C141" s="2"/>
    </row>
    <row r="142" customFormat="false" ht="15" hidden="false" customHeight="false" outlineLevel="0" collapsed="false">
      <c r="A142" s="2"/>
      <c r="B142" s="2"/>
      <c r="C142" s="2"/>
    </row>
    <row r="143" customFormat="false" ht="15" hidden="false" customHeight="false" outlineLevel="0" collapsed="false">
      <c r="A143" s="2"/>
      <c r="B143" s="2"/>
      <c r="C143" s="2"/>
    </row>
    <row r="144" customFormat="false" ht="15" hidden="false" customHeight="false" outlineLevel="0" collapsed="false">
      <c r="A144" s="2"/>
      <c r="B144" s="2"/>
      <c r="C144" s="2"/>
    </row>
    <row r="145" customFormat="false" ht="15" hidden="false" customHeight="false" outlineLevel="0" collapsed="false">
      <c r="A145" s="2"/>
      <c r="B145" s="2"/>
      <c r="C145" s="2"/>
    </row>
    <row r="146" customFormat="false" ht="15" hidden="false" customHeight="false" outlineLevel="0" collapsed="false">
      <c r="A146" s="2"/>
      <c r="B146" s="2"/>
      <c r="C146" s="2"/>
    </row>
    <row r="147" customFormat="false" ht="15" hidden="false" customHeight="false" outlineLevel="0" collapsed="false">
      <c r="A147" s="2"/>
      <c r="B147" s="2"/>
      <c r="C147" s="2"/>
    </row>
    <row r="148" customFormat="false" ht="15" hidden="false" customHeight="false" outlineLevel="0" collapsed="false">
      <c r="A148" s="2"/>
      <c r="B148" s="2"/>
      <c r="C148" s="2"/>
    </row>
    <row r="149" customFormat="false" ht="15" hidden="false" customHeight="false" outlineLevel="0" collapsed="false">
      <c r="A149" s="2"/>
      <c r="B149" s="2"/>
      <c r="C149" s="2"/>
    </row>
    <row r="150" customFormat="false" ht="15" hidden="false" customHeight="false" outlineLevel="0" collapsed="false">
      <c r="A150" s="2"/>
      <c r="B150" s="2"/>
      <c r="C150" s="2"/>
    </row>
    <row r="151" customFormat="false" ht="15" hidden="false" customHeight="false" outlineLevel="0" collapsed="false">
      <c r="A151" s="2"/>
      <c r="B151" s="2"/>
      <c r="C151" s="2"/>
    </row>
    <row r="152" customFormat="false" ht="15" hidden="false" customHeight="false" outlineLevel="0" collapsed="false">
      <c r="A152" s="2"/>
      <c r="B152" s="2"/>
      <c r="C152" s="2"/>
    </row>
    <row r="153" customFormat="false" ht="15" hidden="false" customHeight="false" outlineLevel="0" collapsed="false">
      <c r="A153" s="2"/>
      <c r="B153" s="2"/>
      <c r="C153" s="2"/>
    </row>
    <row r="154" customFormat="false" ht="15" hidden="false" customHeight="false" outlineLevel="0" collapsed="false">
      <c r="A154" s="2"/>
      <c r="B154" s="2"/>
      <c r="C154" s="2"/>
    </row>
    <row r="155" customFormat="false" ht="15" hidden="false" customHeight="false" outlineLevel="0" collapsed="false">
      <c r="A155" s="2"/>
      <c r="B155" s="2"/>
      <c r="C155" s="2"/>
    </row>
    <row r="156" customFormat="false" ht="15" hidden="false" customHeight="false" outlineLevel="0" collapsed="false">
      <c r="A156" s="2"/>
      <c r="B156" s="2"/>
      <c r="C156" s="2"/>
    </row>
    <row r="157" customFormat="false" ht="15" hidden="false" customHeight="false" outlineLevel="0" collapsed="false">
      <c r="A157" s="2"/>
      <c r="B157" s="2"/>
      <c r="C157" s="2"/>
    </row>
    <row r="158" customFormat="false" ht="15" hidden="false" customHeight="false" outlineLevel="0" collapsed="false">
      <c r="A158" s="2"/>
      <c r="B158" s="2"/>
      <c r="C158" s="2"/>
    </row>
    <row r="159" customFormat="false" ht="15" hidden="false" customHeight="false" outlineLevel="0" collapsed="false">
      <c r="A159" s="2"/>
      <c r="B159" s="2"/>
      <c r="C159" s="2"/>
    </row>
    <row r="160" customFormat="false" ht="15" hidden="false" customHeight="false" outlineLevel="0" collapsed="false">
      <c r="A160" s="2"/>
      <c r="B160" s="2"/>
      <c r="C160" s="2"/>
    </row>
    <row r="161" customFormat="false" ht="15" hidden="false" customHeight="false" outlineLevel="0" collapsed="false">
      <c r="A161" s="2"/>
      <c r="B161" s="2"/>
      <c r="C161" s="2"/>
    </row>
    <row r="162" customFormat="false" ht="15" hidden="false" customHeight="false" outlineLevel="0" collapsed="false">
      <c r="A162" s="2"/>
      <c r="B162" s="2"/>
      <c r="C162" s="2"/>
    </row>
    <row r="163" customFormat="false" ht="15" hidden="false" customHeight="false" outlineLevel="0" collapsed="false">
      <c r="A163" s="2"/>
      <c r="B163" s="2"/>
      <c r="C163" s="2"/>
    </row>
    <row r="164" customFormat="false" ht="15" hidden="false" customHeight="false" outlineLevel="0" collapsed="false">
      <c r="A164" s="2"/>
      <c r="B164" s="2"/>
      <c r="C164" s="2"/>
    </row>
    <row r="165" customFormat="false" ht="15" hidden="false" customHeight="false" outlineLevel="0" collapsed="false">
      <c r="A165" s="2"/>
      <c r="B165" s="2"/>
      <c r="C165" s="2"/>
    </row>
    <row r="166" customFormat="false" ht="15" hidden="false" customHeight="false" outlineLevel="0" collapsed="false">
      <c r="A166" s="2"/>
      <c r="B166" s="2"/>
      <c r="C166" s="2"/>
    </row>
    <row r="167" customFormat="false" ht="15" hidden="false" customHeight="false" outlineLevel="0" collapsed="false">
      <c r="A167" s="2"/>
      <c r="B167" s="2"/>
      <c r="C167" s="2"/>
    </row>
    <row r="168" customFormat="false" ht="15" hidden="false" customHeight="false" outlineLevel="0" collapsed="false">
      <c r="A168" s="2"/>
      <c r="B168" s="2"/>
      <c r="C168" s="2"/>
    </row>
    <row r="169" customFormat="false" ht="15" hidden="false" customHeight="false" outlineLevel="0" collapsed="false">
      <c r="A169" s="2"/>
      <c r="B169" s="2"/>
      <c r="C169" s="2"/>
    </row>
    <row r="170" customFormat="false" ht="15" hidden="false" customHeight="false" outlineLevel="0" collapsed="false">
      <c r="A170" s="2"/>
      <c r="B170" s="2"/>
      <c r="C170" s="2"/>
    </row>
    <row r="171" customFormat="false" ht="15" hidden="false" customHeight="false" outlineLevel="0" collapsed="false">
      <c r="A171" s="2"/>
      <c r="B171" s="2"/>
      <c r="C171" s="2"/>
    </row>
    <row r="172" customFormat="false" ht="15" hidden="false" customHeight="false" outlineLevel="0" collapsed="false">
      <c r="A172" s="2"/>
      <c r="B172" s="2"/>
      <c r="C172" s="2"/>
    </row>
    <row r="173" customFormat="false" ht="15" hidden="false" customHeight="false" outlineLevel="0" collapsed="false">
      <c r="A173" s="2"/>
      <c r="B173" s="2"/>
      <c r="C173" s="2"/>
    </row>
    <row r="174" customFormat="false" ht="15" hidden="false" customHeight="false" outlineLevel="0" collapsed="false">
      <c r="A174" s="2"/>
      <c r="B174" s="2"/>
      <c r="C174" s="2"/>
    </row>
    <row r="175" customFormat="false" ht="15" hidden="false" customHeight="false" outlineLevel="0" collapsed="false">
      <c r="A175" s="2"/>
      <c r="B175" s="2"/>
      <c r="C175" s="2"/>
    </row>
    <row r="176" customFormat="false" ht="15" hidden="false" customHeight="false" outlineLevel="0" collapsed="false">
      <c r="A176" s="2"/>
      <c r="B176" s="2"/>
      <c r="C176" s="2"/>
    </row>
    <row r="177" customFormat="false" ht="15" hidden="false" customHeight="false" outlineLevel="0" collapsed="false">
      <c r="A177" s="2"/>
      <c r="B177" s="2"/>
      <c r="C177" s="2"/>
    </row>
    <row r="178" customFormat="false" ht="15" hidden="false" customHeight="false" outlineLevel="0" collapsed="false">
      <c r="A178" s="2"/>
      <c r="B178" s="2"/>
      <c r="C178" s="2"/>
    </row>
    <row r="179" customFormat="false" ht="15" hidden="false" customHeight="false" outlineLevel="0" collapsed="false">
      <c r="A179" s="2"/>
      <c r="B179" s="2"/>
      <c r="C179" s="2"/>
    </row>
    <row r="180" customFormat="false" ht="15" hidden="false" customHeight="false" outlineLevel="0" collapsed="false">
      <c r="A180" s="2"/>
      <c r="B180" s="2"/>
      <c r="C180" s="2"/>
    </row>
    <row r="181" customFormat="false" ht="15" hidden="false" customHeight="false" outlineLevel="0" collapsed="false">
      <c r="A181" s="2"/>
      <c r="B181" s="2"/>
      <c r="C181" s="2"/>
    </row>
    <row r="182" customFormat="false" ht="15" hidden="false" customHeight="false" outlineLevel="0" collapsed="false">
      <c r="A182" s="2"/>
      <c r="B182" s="2"/>
      <c r="C182" s="2"/>
    </row>
    <row r="183" customFormat="false" ht="15" hidden="false" customHeight="false" outlineLevel="0" collapsed="false">
      <c r="A183" s="2"/>
      <c r="B183" s="2"/>
      <c r="C183" s="2"/>
    </row>
    <row r="184" customFormat="false" ht="15" hidden="false" customHeight="false" outlineLevel="0" collapsed="false">
      <c r="A184" s="2"/>
      <c r="B184" s="2"/>
      <c r="C184" s="2"/>
    </row>
    <row r="185" customFormat="false" ht="15" hidden="false" customHeight="false" outlineLevel="0" collapsed="false">
      <c r="A185" s="2"/>
      <c r="B185" s="2"/>
      <c r="C185" s="2"/>
    </row>
    <row r="186" customFormat="false" ht="15" hidden="false" customHeight="false" outlineLevel="0" collapsed="false">
      <c r="A186" s="2"/>
      <c r="B186" s="2"/>
      <c r="C186" s="2"/>
    </row>
    <row r="187" customFormat="false" ht="15" hidden="false" customHeight="false" outlineLevel="0" collapsed="false">
      <c r="A187" s="2"/>
      <c r="B187" s="2"/>
      <c r="C187" s="2"/>
    </row>
    <row r="188" customFormat="false" ht="15" hidden="false" customHeight="false" outlineLevel="0" collapsed="false">
      <c r="A188" s="2"/>
      <c r="B188" s="2"/>
      <c r="C188" s="2"/>
    </row>
    <row r="189" customFormat="false" ht="15" hidden="false" customHeight="false" outlineLevel="0" collapsed="false">
      <c r="A189" s="2"/>
      <c r="B189" s="2"/>
      <c r="C189" s="2"/>
    </row>
    <row r="190" customFormat="false" ht="15" hidden="false" customHeight="false" outlineLevel="0" collapsed="false">
      <c r="A190" s="2"/>
      <c r="B190" s="2"/>
      <c r="C190" s="2"/>
    </row>
    <row r="191" customFormat="false" ht="15" hidden="false" customHeight="false" outlineLevel="0" collapsed="false">
      <c r="A191" s="2"/>
      <c r="B191" s="2"/>
      <c r="C191" s="2"/>
    </row>
    <row r="192" customFormat="false" ht="15" hidden="false" customHeight="false" outlineLevel="0" collapsed="false">
      <c r="A192" s="2"/>
      <c r="B192" s="2"/>
      <c r="C192" s="2"/>
    </row>
    <row r="193" customFormat="false" ht="15" hidden="false" customHeight="false" outlineLevel="0" collapsed="false">
      <c r="A193" s="2"/>
      <c r="B193" s="2"/>
      <c r="C193" s="2"/>
    </row>
    <row r="194" customFormat="false" ht="15" hidden="false" customHeight="false" outlineLevel="0" collapsed="false">
      <c r="A194" s="2"/>
      <c r="B194" s="2"/>
      <c r="C194" s="2"/>
    </row>
    <row r="195" customFormat="false" ht="15" hidden="false" customHeight="false" outlineLevel="0" collapsed="false">
      <c r="A195" s="2"/>
      <c r="B195" s="2"/>
      <c r="C195" s="2"/>
    </row>
    <row r="196" customFormat="false" ht="15" hidden="false" customHeight="false" outlineLevel="0" collapsed="false">
      <c r="A196" s="2"/>
      <c r="B196" s="2"/>
      <c r="C196" s="2"/>
    </row>
    <row r="197" customFormat="false" ht="15" hidden="false" customHeight="false" outlineLevel="0" collapsed="false">
      <c r="A197" s="2"/>
      <c r="B197" s="2"/>
      <c r="C197" s="2"/>
    </row>
    <row r="198" customFormat="false" ht="15" hidden="false" customHeight="false" outlineLevel="0" collapsed="false">
      <c r="A198" s="2"/>
      <c r="B198" s="2"/>
      <c r="C198" s="2"/>
    </row>
    <row r="199" customFormat="false" ht="15" hidden="false" customHeight="false" outlineLevel="0" collapsed="false">
      <c r="A199" s="2"/>
      <c r="B199" s="2"/>
      <c r="C199" s="2"/>
    </row>
    <row r="200" customFormat="false" ht="15" hidden="false" customHeight="false" outlineLevel="0" collapsed="false">
      <c r="A200" s="2"/>
      <c r="B200" s="2"/>
      <c r="C200" s="2"/>
    </row>
    <row r="201" customFormat="false" ht="15" hidden="false" customHeight="false" outlineLevel="0" collapsed="false">
      <c r="A201" s="2"/>
      <c r="B201" s="2"/>
      <c r="C201" s="2"/>
    </row>
    <row r="202" customFormat="false" ht="15" hidden="false" customHeight="false" outlineLevel="0" collapsed="false">
      <c r="A202" s="2"/>
      <c r="B202" s="2"/>
      <c r="C202" s="2"/>
    </row>
    <row r="203" customFormat="false" ht="15" hidden="false" customHeight="false" outlineLevel="0" collapsed="false">
      <c r="A203" s="2"/>
      <c r="B203" s="2"/>
      <c r="C203" s="2"/>
    </row>
    <row r="204" customFormat="false" ht="15" hidden="false" customHeight="false" outlineLevel="0" collapsed="false">
      <c r="A204" s="2"/>
      <c r="B204" s="2"/>
      <c r="C204" s="2"/>
    </row>
    <row r="205" customFormat="false" ht="15" hidden="false" customHeight="false" outlineLevel="0" collapsed="false">
      <c r="A205" s="2"/>
      <c r="B205" s="2"/>
      <c r="C205" s="2"/>
    </row>
    <row r="206" customFormat="false" ht="15" hidden="false" customHeight="false" outlineLevel="0" collapsed="false">
      <c r="A206" s="2"/>
      <c r="B206" s="2"/>
      <c r="C206" s="2"/>
    </row>
    <row r="207" customFormat="false" ht="15" hidden="false" customHeight="false" outlineLevel="0" collapsed="false">
      <c r="A207" s="2"/>
      <c r="B207" s="2"/>
      <c r="C207" s="2"/>
    </row>
    <row r="208" customFormat="false" ht="15" hidden="false" customHeight="false" outlineLevel="0" collapsed="false">
      <c r="A208" s="2"/>
      <c r="B208" s="2"/>
      <c r="C208" s="2"/>
    </row>
    <row r="209" customFormat="false" ht="15" hidden="false" customHeight="false" outlineLevel="0" collapsed="false">
      <c r="A209" s="2"/>
      <c r="B209" s="2"/>
      <c r="C209" s="2"/>
    </row>
    <row r="210" customFormat="false" ht="15" hidden="false" customHeight="false" outlineLevel="0" collapsed="false">
      <c r="A210" s="2"/>
      <c r="B210" s="2"/>
      <c r="C210" s="2"/>
    </row>
    <row r="211" customFormat="false" ht="15" hidden="false" customHeight="false" outlineLevel="0" collapsed="false">
      <c r="A211" s="2"/>
      <c r="B211" s="2"/>
      <c r="C211" s="2"/>
    </row>
    <row r="212" customFormat="false" ht="15" hidden="false" customHeight="false" outlineLevel="0" collapsed="false">
      <c r="A212" s="2"/>
      <c r="B212" s="2"/>
      <c r="C212" s="2"/>
    </row>
    <row r="213" customFormat="false" ht="15" hidden="false" customHeight="false" outlineLevel="0" collapsed="false">
      <c r="A213" s="2"/>
      <c r="B213" s="2"/>
      <c r="C213" s="2"/>
    </row>
    <row r="214" customFormat="false" ht="15" hidden="false" customHeight="false" outlineLevel="0" collapsed="false">
      <c r="A214" s="2"/>
      <c r="B214" s="2"/>
      <c r="C214" s="2"/>
    </row>
    <row r="215" customFormat="false" ht="15" hidden="false" customHeight="false" outlineLevel="0" collapsed="false">
      <c r="A215" s="2"/>
      <c r="B215" s="2"/>
      <c r="C215" s="2"/>
    </row>
    <row r="216" customFormat="false" ht="15" hidden="false" customHeight="false" outlineLevel="0" collapsed="false">
      <c r="A216" s="2"/>
      <c r="B216" s="2"/>
      <c r="C216" s="2"/>
    </row>
    <row r="217" customFormat="false" ht="15" hidden="false" customHeight="false" outlineLevel="0" collapsed="false">
      <c r="A217" s="2"/>
      <c r="B217" s="2"/>
      <c r="C217" s="2"/>
    </row>
    <row r="218" customFormat="false" ht="15" hidden="false" customHeight="false" outlineLevel="0" collapsed="false">
      <c r="A218" s="2"/>
      <c r="B218" s="2"/>
      <c r="C218" s="2"/>
    </row>
    <row r="219" customFormat="false" ht="15" hidden="false" customHeight="false" outlineLevel="0" collapsed="false">
      <c r="A219" s="2"/>
      <c r="B219" s="2"/>
      <c r="C219" s="2"/>
    </row>
    <row r="220" customFormat="false" ht="15" hidden="false" customHeight="false" outlineLevel="0" collapsed="false">
      <c r="A220" s="2"/>
      <c r="B220" s="2"/>
      <c r="C220" s="2"/>
    </row>
    <row r="221" customFormat="false" ht="15" hidden="false" customHeight="false" outlineLevel="0" collapsed="false">
      <c r="A221" s="2"/>
      <c r="B221" s="2"/>
      <c r="C221" s="2"/>
    </row>
    <row r="222" customFormat="false" ht="15" hidden="false" customHeight="false" outlineLevel="0" collapsed="false">
      <c r="A222" s="2"/>
      <c r="B222" s="2"/>
      <c r="C222" s="2"/>
    </row>
    <row r="223" customFormat="false" ht="15" hidden="false" customHeight="false" outlineLevel="0" collapsed="false">
      <c r="A223" s="2"/>
      <c r="B223" s="2"/>
      <c r="C223" s="2"/>
    </row>
    <row r="224" customFormat="false" ht="15" hidden="false" customHeight="false" outlineLevel="0" collapsed="false">
      <c r="A224" s="2"/>
      <c r="B224" s="2"/>
      <c r="C224" s="2"/>
    </row>
    <row r="225" customFormat="false" ht="15" hidden="false" customHeight="false" outlineLevel="0" collapsed="false">
      <c r="A225" s="2"/>
      <c r="B225" s="2"/>
      <c r="C225" s="2"/>
    </row>
    <row r="226" customFormat="false" ht="15" hidden="false" customHeight="false" outlineLevel="0" collapsed="false">
      <c r="A226" s="2"/>
      <c r="B226" s="2"/>
      <c r="C226" s="2"/>
    </row>
    <row r="227" customFormat="false" ht="15" hidden="false" customHeight="false" outlineLevel="0" collapsed="false">
      <c r="A227" s="2"/>
      <c r="B227" s="2"/>
      <c r="C227" s="2"/>
    </row>
    <row r="228" customFormat="false" ht="15" hidden="false" customHeight="false" outlineLevel="0" collapsed="false">
      <c r="A228" s="2"/>
      <c r="B228" s="2"/>
      <c r="C228" s="2"/>
    </row>
    <row r="229" customFormat="false" ht="15" hidden="false" customHeight="false" outlineLevel="0" collapsed="false">
      <c r="A229" s="2"/>
      <c r="B229" s="2"/>
      <c r="C229" s="2"/>
    </row>
    <row r="230" customFormat="false" ht="15" hidden="false" customHeight="false" outlineLevel="0" collapsed="false">
      <c r="A230" s="2"/>
      <c r="B230" s="2"/>
      <c r="C230" s="2"/>
    </row>
    <row r="231" customFormat="false" ht="15" hidden="false" customHeight="false" outlineLevel="0" collapsed="false">
      <c r="A231" s="2"/>
      <c r="B231" s="2"/>
      <c r="C231" s="2"/>
    </row>
    <row r="232" customFormat="false" ht="15" hidden="false" customHeight="false" outlineLevel="0" collapsed="false">
      <c r="A232" s="2"/>
      <c r="B232" s="2"/>
      <c r="C232" s="2"/>
    </row>
    <row r="233" customFormat="false" ht="15" hidden="false" customHeight="false" outlineLevel="0" collapsed="false">
      <c r="A233" s="2"/>
      <c r="B233" s="2"/>
      <c r="C233" s="2"/>
    </row>
    <row r="234" customFormat="false" ht="15" hidden="false" customHeight="false" outlineLevel="0" collapsed="false">
      <c r="A234" s="2"/>
      <c r="B234" s="2"/>
      <c r="C234" s="2"/>
    </row>
    <row r="235" customFormat="false" ht="15" hidden="false" customHeight="false" outlineLevel="0" collapsed="false">
      <c r="A235" s="2"/>
      <c r="B235" s="2"/>
      <c r="C235" s="2"/>
    </row>
    <row r="236" customFormat="false" ht="15" hidden="false" customHeight="false" outlineLevel="0" collapsed="false">
      <c r="A236" s="2"/>
      <c r="B236" s="2"/>
      <c r="C236" s="2"/>
    </row>
    <row r="237" customFormat="false" ht="15" hidden="false" customHeight="false" outlineLevel="0" collapsed="false">
      <c r="A237" s="2"/>
      <c r="B237" s="2"/>
      <c r="C237" s="2"/>
    </row>
    <row r="238" customFormat="false" ht="15" hidden="false" customHeight="false" outlineLevel="0" collapsed="false">
      <c r="A238" s="2"/>
      <c r="B238" s="2"/>
      <c r="C238" s="2"/>
    </row>
    <row r="239" customFormat="false" ht="15" hidden="false" customHeight="false" outlineLevel="0" collapsed="false">
      <c r="A239" s="2"/>
      <c r="B239" s="2"/>
      <c r="C239" s="2"/>
    </row>
    <row r="240" customFormat="false" ht="15" hidden="false" customHeight="false" outlineLevel="0" collapsed="false">
      <c r="A240" s="2"/>
      <c r="B240" s="2"/>
      <c r="C240" s="2"/>
    </row>
    <row r="241" customFormat="false" ht="15" hidden="false" customHeight="false" outlineLevel="0" collapsed="false">
      <c r="A241" s="2"/>
      <c r="B241" s="2"/>
      <c r="C241" s="2"/>
    </row>
    <row r="242" customFormat="false" ht="15" hidden="false" customHeight="false" outlineLevel="0" collapsed="false">
      <c r="A242" s="2"/>
      <c r="B242" s="2"/>
      <c r="C242" s="2"/>
    </row>
    <row r="243" customFormat="false" ht="15" hidden="false" customHeight="false" outlineLevel="0" collapsed="false">
      <c r="A243" s="2"/>
      <c r="B243" s="2"/>
      <c r="C243" s="2"/>
    </row>
    <row r="244" customFormat="false" ht="15" hidden="false" customHeight="false" outlineLevel="0" collapsed="false">
      <c r="A244" s="2"/>
      <c r="B244" s="2"/>
      <c r="C244" s="2"/>
    </row>
    <row r="245" customFormat="false" ht="15" hidden="false" customHeight="false" outlineLevel="0" collapsed="false">
      <c r="A245" s="2"/>
      <c r="B245" s="2"/>
      <c r="C245" s="2"/>
    </row>
    <row r="246" customFormat="false" ht="15" hidden="false" customHeight="false" outlineLevel="0" collapsed="false">
      <c r="A246" s="2"/>
      <c r="B246" s="2"/>
      <c r="C246" s="2"/>
    </row>
    <row r="247" customFormat="false" ht="15" hidden="false" customHeight="false" outlineLevel="0" collapsed="false">
      <c r="A247" s="2"/>
      <c r="B247" s="2"/>
      <c r="C247" s="2"/>
    </row>
    <row r="248" customFormat="false" ht="15" hidden="false" customHeight="false" outlineLevel="0" collapsed="false">
      <c r="A248" s="2"/>
      <c r="B248" s="2"/>
      <c r="C248" s="2"/>
    </row>
    <row r="249" customFormat="false" ht="15" hidden="false" customHeight="false" outlineLevel="0" collapsed="false">
      <c r="A249" s="2"/>
      <c r="B249" s="2"/>
      <c r="C249" s="2"/>
    </row>
    <row r="250" customFormat="false" ht="15" hidden="false" customHeight="false" outlineLevel="0" collapsed="false">
      <c r="A250" s="2"/>
      <c r="B250" s="2"/>
      <c r="C250" s="2"/>
    </row>
    <row r="251" customFormat="false" ht="15" hidden="false" customHeight="false" outlineLevel="0" collapsed="false">
      <c r="A251" s="2"/>
      <c r="B251" s="2"/>
      <c r="C251" s="2"/>
    </row>
    <row r="252" customFormat="false" ht="15" hidden="false" customHeight="false" outlineLevel="0" collapsed="false">
      <c r="A252" s="2"/>
      <c r="B252" s="2"/>
      <c r="C252" s="2"/>
    </row>
    <row r="253" customFormat="false" ht="15" hidden="false" customHeight="false" outlineLevel="0" collapsed="false">
      <c r="A253" s="2"/>
      <c r="B253" s="2"/>
      <c r="C253" s="2"/>
    </row>
    <row r="254" customFormat="false" ht="15" hidden="false" customHeight="false" outlineLevel="0" collapsed="false">
      <c r="A254" s="2"/>
      <c r="B254" s="2"/>
      <c r="C254" s="2"/>
    </row>
    <row r="255" customFormat="false" ht="15" hidden="false" customHeight="false" outlineLevel="0" collapsed="false">
      <c r="A255" s="2"/>
      <c r="B255" s="2"/>
      <c r="C255" s="2"/>
    </row>
    <row r="256" customFormat="false" ht="15" hidden="false" customHeight="false" outlineLevel="0" collapsed="false">
      <c r="A256" s="2"/>
      <c r="B256" s="2"/>
      <c r="C256" s="2"/>
    </row>
    <row r="257" customFormat="false" ht="15" hidden="false" customHeight="false" outlineLevel="0" collapsed="false">
      <c r="A257" s="2"/>
      <c r="B257" s="2"/>
      <c r="C257" s="2"/>
    </row>
    <row r="258" customFormat="false" ht="15" hidden="false" customHeight="false" outlineLevel="0" collapsed="false">
      <c r="A258" s="2"/>
      <c r="B258" s="2"/>
      <c r="C258" s="2"/>
    </row>
    <row r="259" customFormat="false" ht="15" hidden="false" customHeight="false" outlineLevel="0" collapsed="false">
      <c r="A259" s="2"/>
      <c r="B259" s="2"/>
      <c r="C259" s="2"/>
    </row>
    <row r="260" customFormat="false" ht="15" hidden="false" customHeight="false" outlineLevel="0" collapsed="false">
      <c r="A260" s="2"/>
      <c r="B260" s="2"/>
      <c r="C260" s="2"/>
    </row>
    <row r="261" customFormat="false" ht="15" hidden="false" customHeight="false" outlineLevel="0" collapsed="false">
      <c r="A261" s="2"/>
      <c r="B261" s="2"/>
      <c r="C261" s="2"/>
    </row>
    <row r="262" customFormat="false" ht="15" hidden="false" customHeight="false" outlineLevel="0" collapsed="false">
      <c r="A262" s="2"/>
      <c r="B262" s="2"/>
      <c r="C262" s="2"/>
    </row>
    <row r="263" customFormat="false" ht="15" hidden="false" customHeight="false" outlineLevel="0" collapsed="false">
      <c r="A263" s="2"/>
      <c r="B263" s="2"/>
      <c r="C263" s="2"/>
    </row>
    <row r="264" customFormat="false" ht="15" hidden="false" customHeight="false" outlineLevel="0" collapsed="false">
      <c r="A264" s="2"/>
      <c r="B264" s="2"/>
      <c r="C264" s="2"/>
    </row>
    <row r="265" customFormat="false" ht="15" hidden="false" customHeight="false" outlineLevel="0" collapsed="false">
      <c r="A265" s="2"/>
      <c r="B265" s="2"/>
      <c r="C265" s="2"/>
    </row>
    <row r="266" customFormat="false" ht="15" hidden="false" customHeight="false" outlineLevel="0" collapsed="false">
      <c r="A266" s="2"/>
      <c r="B266" s="2"/>
      <c r="C266" s="2"/>
    </row>
    <row r="267" customFormat="false" ht="15" hidden="false" customHeight="false" outlineLevel="0" collapsed="false">
      <c r="A267" s="2"/>
      <c r="B267" s="2"/>
      <c r="C267" s="2"/>
    </row>
    <row r="268" customFormat="false" ht="15" hidden="false" customHeight="false" outlineLevel="0" collapsed="false">
      <c r="A268" s="2"/>
      <c r="B268" s="2"/>
      <c r="C268" s="2"/>
    </row>
    <row r="269" customFormat="false" ht="15" hidden="false" customHeight="false" outlineLevel="0" collapsed="false">
      <c r="A269" s="2"/>
      <c r="B269" s="2"/>
      <c r="C269" s="2"/>
    </row>
    <row r="270" customFormat="false" ht="15" hidden="false" customHeight="false" outlineLevel="0" collapsed="false">
      <c r="A270" s="2"/>
      <c r="B270" s="2"/>
      <c r="C270" s="2"/>
    </row>
    <row r="271" customFormat="false" ht="15" hidden="false" customHeight="false" outlineLevel="0" collapsed="false">
      <c r="A271" s="2"/>
      <c r="B271" s="2"/>
      <c r="C271" s="2"/>
    </row>
    <row r="272" customFormat="false" ht="15" hidden="false" customHeight="false" outlineLevel="0" collapsed="false">
      <c r="A272" s="2"/>
      <c r="B272" s="2"/>
      <c r="C272" s="2"/>
    </row>
    <row r="273" customFormat="false" ht="15" hidden="false" customHeight="false" outlineLevel="0" collapsed="false">
      <c r="A273" s="2"/>
      <c r="B273" s="2"/>
      <c r="C273" s="2"/>
    </row>
    <row r="274" customFormat="false" ht="15" hidden="false" customHeight="false" outlineLevel="0" collapsed="false">
      <c r="A274" s="2"/>
      <c r="B274" s="2"/>
      <c r="C274" s="2"/>
    </row>
    <row r="275" customFormat="false" ht="15" hidden="false" customHeight="false" outlineLevel="0" collapsed="false">
      <c r="A275" s="2"/>
      <c r="B275" s="2"/>
      <c r="C275" s="2"/>
    </row>
    <row r="276" customFormat="false" ht="15" hidden="false" customHeight="false" outlineLevel="0" collapsed="false">
      <c r="A276" s="2"/>
      <c r="B276" s="2"/>
      <c r="C276" s="2"/>
    </row>
    <row r="277" customFormat="false" ht="15" hidden="false" customHeight="false" outlineLevel="0" collapsed="false">
      <c r="A277" s="2"/>
      <c r="B277" s="2"/>
      <c r="C277" s="2"/>
    </row>
    <row r="278" customFormat="false" ht="15" hidden="false" customHeight="false" outlineLevel="0" collapsed="false">
      <c r="A278" s="2"/>
      <c r="B278" s="2"/>
      <c r="C278" s="2"/>
    </row>
    <row r="279" customFormat="false" ht="15" hidden="false" customHeight="false" outlineLevel="0" collapsed="false">
      <c r="A279" s="2"/>
      <c r="B279" s="2"/>
      <c r="C279" s="2"/>
    </row>
    <row r="280" customFormat="false" ht="15" hidden="false" customHeight="false" outlineLevel="0" collapsed="false">
      <c r="A280" s="2"/>
      <c r="B280" s="2"/>
      <c r="C280" s="2"/>
    </row>
    <row r="281" customFormat="false" ht="15" hidden="false" customHeight="false" outlineLevel="0" collapsed="false">
      <c r="A281" s="2"/>
      <c r="B281" s="2"/>
      <c r="C281" s="2"/>
    </row>
    <row r="282" customFormat="false" ht="15" hidden="false" customHeight="false" outlineLevel="0" collapsed="false">
      <c r="A282" s="2"/>
      <c r="B282" s="2"/>
      <c r="C282" s="2"/>
    </row>
    <row r="283" customFormat="false" ht="15" hidden="false" customHeight="false" outlineLevel="0" collapsed="false">
      <c r="A283" s="2"/>
      <c r="B283" s="2"/>
      <c r="C283" s="2"/>
    </row>
    <row r="284" customFormat="false" ht="15" hidden="false" customHeight="false" outlineLevel="0" collapsed="false">
      <c r="A284" s="2"/>
      <c r="B284" s="2"/>
      <c r="C284" s="2"/>
    </row>
    <row r="285" customFormat="false" ht="15" hidden="false" customHeight="false" outlineLevel="0" collapsed="false">
      <c r="A285" s="2"/>
      <c r="B285" s="2"/>
      <c r="C285" s="2"/>
    </row>
    <row r="286" customFormat="false" ht="15" hidden="false" customHeight="false" outlineLevel="0" collapsed="false">
      <c r="A286" s="2"/>
      <c r="B286" s="2"/>
      <c r="C286" s="2"/>
    </row>
    <row r="287" customFormat="false" ht="15" hidden="false" customHeight="false" outlineLevel="0" collapsed="false">
      <c r="A287" s="2"/>
      <c r="B287" s="2"/>
      <c r="C287" s="2"/>
    </row>
    <row r="288" customFormat="false" ht="15" hidden="false" customHeight="false" outlineLevel="0" collapsed="false">
      <c r="A288" s="2"/>
      <c r="B288" s="2"/>
      <c r="C288" s="2"/>
    </row>
    <row r="289" customFormat="false" ht="15" hidden="false" customHeight="false" outlineLevel="0" collapsed="false">
      <c r="A289" s="2"/>
      <c r="B289" s="2"/>
      <c r="C289" s="2"/>
    </row>
    <row r="290" customFormat="false" ht="15" hidden="false" customHeight="false" outlineLevel="0" collapsed="false">
      <c r="A290" s="2"/>
      <c r="B290" s="2"/>
      <c r="C290" s="2"/>
    </row>
    <row r="291" customFormat="false" ht="15" hidden="false" customHeight="false" outlineLevel="0" collapsed="false">
      <c r="A291" s="2"/>
      <c r="B291" s="2"/>
      <c r="C291" s="2"/>
    </row>
    <row r="292" customFormat="false" ht="15" hidden="false" customHeight="false" outlineLevel="0" collapsed="false">
      <c r="A292" s="2"/>
      <c r="B292" s="2"/>
      <c r="C292" s="2"/>
    </row>
    <row r="293" customFormat="false" ht="15" hidden="false" customHeight="false" outlineLevel="0" collapsed="false">
      <c r="A293" s="2"/>
      <c r="B293" s="2"/>
      <c r="C293" s="2"/>
    </row>
    <row r="294" customFormat="false" ht="15" hidden="false" customHeight="false" outlineLevel="0" collapsed="false">
      <c r="A294" s="2"/>
      <c r="B294" s="2"/>
      <c r="C294" s="2"/>
    </row>
    <row r="295" customFormat="false" ht="15" hidden="false" customHeight="false" outlineLevel="0" collapsed="false">
      <c r="A295" s="2"/>
      <c r="B295" s="2"/>
      <c r="C295" s="2"/>
    </row>
    <row r="296" customFormat="false" ht="15" hidden="false" customHeight="false" outlineLevel="0" collapsed="false">
      <c r="A296" s="2"/>
      <c r="B296" s="2"/>
      <c r="C296" s="2"/>
    </row>
    <row r="297" customFormat="false" ht="15" hidden="false" customHeight="false" outlineLevel="0" collapsed="false">
      <c r="A297" s="2"/>
      <c r="B297" s="2"/>
      <c r="C297" s="2"/>
    </row>
    <row r="298" customFormat="false" ht="15" hidden="false" customHeight="false" outlineLevel="0" collapsed="false">
      <c r="A298" s="2"/>
      <c r="B298" s="2"/>
      <c r="C298" s="2"/>
    </row>
    <row r="299" customFormat="false" ht="15" hidden="false" customHeight="false" outlineLevel="0" collapsed="false">
      <c r="A299" s="2"/>
      <c r="B299" s="2"/>
      <c r="C299" s="2"/>
    </row>
  </sheetData>
  <mergeCells count="8">
    <mergeCell ref="A23:C23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6" min="3" style="0" width="13"/>
  </cols>
  <sheetData>
    <row r="1" customFormat="false" ht="27.75" hidden="false" customHeight="true" outlineLevel="0" collapsed="false">
      <c r="A1" s="1" t="s">
        <v>52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54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true" outlineLevel="0" collapsed="false">
      <c r="A5" s="6" t="s">
        <v>3</v>
      </c>
      <c r="B5" s="13" t="s">
        <v>17</v>
      </c>
      <c r="C5" s="13"/>
      <c r="D5" s="13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30" hidden="false" customHeight="true" outlineLevel="0" collapsed="false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</row>
    <row r="8" customFormat="false" ht="15" hidden="false" customHeight="false" outlineLevel="0" collapsed="false">
      <c r="A8" s="6" t="s">
        <v>61</v>
      </c>
      <c r="B8" s="7"/>
      <c r="C8" s="14" t="s">
        <v>62</v>
      </c>
      <c r="D8" s="14" t="s">
        <v>63</v>
      </c>
      <c r="E8" s="14"/>
      <c r="F8" s="14"/>
    </row>
    <row r="9" customFormat="false" ht="15" hidden="false" customHeight="false" outlineLevel="0" collapsed="false">
      <c r="A9" s="6" t="s">
        <v>64</v>
      </c>
      <c r="B9" s="15" t="n">
        <v>0.25</v>
      </c>
      <c r="C9" s="16" t="n">
        <v>5</v>
      </c>
      <c r="D9" s="16" t="n">
        <v>3</v>
      </c>
      <c r="E9" s="16"/>
      <c r="F9" s="16"/>
    </row>
    <row r="10" customFormat="false" ht="15" hidden="false" customHeight="false" outlineLevel="0" collapsed="false">
      <c r="A10" s="6" t="s">
        <v>65</v>
      </c>
      <c r="B10" s="15" t="n">
        <v>0.15</v>
      </c>
      <c r="C10" s="16" t="n">
        <v>4</v>
      </c>
      <c r="D10" s="16" t="n">
        <v>5</v>
      </c>
      <c r="E10" s="16"/>
      <c r="F10" s="16"/>
    </row>
    <row r="11" customFormat="false" ht="15" hidden="false" customHeight="false" outlineLevel="0" collapsed="false">
      <c r="A11" s="6" t="s">
        <v>66</v>
      </c>
      <c r="B11" s="15" t="n">
        <v>0.2</v>
      </c>
      <c r="C11" s="16" t="n">
        <v>4</v>
      </c>
      <c r="D11" s="16" t="n">
        <v>3</v>
      </c>
      <c r="E11" s="16"/>
      <c r="F11" s="16"/>
    </row>
    <row r="12" customFormat="false" ht="15" hidden="false" customHeight="false" outlineLevel="0" collapsed="false">
      <c r="A12" s="6" t="s">
        <v>67</v>
      </c>
      <c r="B12" s="15" t="n">
        <v>0.15</v>
      </c>
      <c r="C12" s="16" t="n">
        <v>5</v>
      </c>
      <c r="D12" s="16" t="n">
        <v>3</v>
      </c>
      <c r="E12" s="16"/>
      <c r="F12" s="16"/>
    </row>
    <row r="13" customFormat="false" ht="15" hidden="false" customHeight="false" outlineLevel="0" collapsed="false">
      <c r="A13" s="6" t="s">
        <v>68</v>
      </c>
      <c r="B13" s="15" t="n">
        <v>0.1</v>
      </c>
      <c r="C13" s="16" t="n">
        <v>4</v>
      </c>
      <c r="D13" s="16" t="n">
        <v>4</v>
      </c>
      <c r="E13" s="16"/>
      <c r="F13" s="16"/>
    </row>
    <row r="14" customFormat="false" ht="15" hidden="false" customHeight="false" outlineLevel="0" collapsed="false">
      <c r="A14" s="6" t="s">
        <v>69</v>
      </c>
      <c r="B14" s="15" t="n">
        <v>0.15</v>
      </c>
      <c r="C14" s="16" t="n">
        <v>4</v>
      </c>
      <c r="D14" s="16" t="n">
        <v>3</v>
      </c>
      <c r="E14" s="16"/>
      <c r="F14" s="16"/>
    </row>
    <row r="15" customFormat="false" ht="15" hidden="false" customHeight="false" outlineLevel="0" collapsed="false">
      <c r="A15" s="6" t="s">
        <v>70</v>
      </c>
      <c r="B15" s="17" t="n">
        <f aca="false">SUM(B9:B14)</f>
        <v>1</v>
      </c>
      <c r="C15" s="2"/>
      <c r="D15" s="2"/>
      <c r="E15" s="2"/>
      <c r="F15" s="2"/>
    </row>
    <row r="16" customFormat="false" ht="15" hidden="false" customHeight="false" outlineLevel="0" collapsed="false">
      <c r="A16" s="6" t="s">
        <v>71</v>
      </c>
      <c r="B16" s="2"/>
      <c r="C16" s="18" t="n">
        <f aca="false">IF(COUNT(C9:C14)&lt;6,"",SUMPRODUCT($B$9:$B$14,C9:C14))</f>
        <v>4.4</v>
      </c>
      <c r="D16" s="18" t="n">
        <f aca="false">IF(COUNT(D9:D14)&lt;6,"",SUMPRODUCT($B$9:$B$14,D9:D14))</f>
        <v>3.4</v>
      </c>
      <c r="E16" s="18" t="str">
        <f aca="false">IF(COUNT(E9:E14)&lt;6,"",SUMPRODUCT($B$9:$B$14,E9:E14))</f>
        <v/>
      </c>
      <c r="F16" s="18" t="str">
        <f aca="false">IF(COUNT(F9:F14)&lt;6,"",SUMPRODUCT($B$9:$B$14,F9:F14))</f>
        <v/>
      </c>
    </row>
    <row r="17" customFormat="false" ht="15" hidden="false" customHeight="false" outlineLevel="0" collapsed="false">
      <c r="A17" s="6" t="s">
        <v>72</v>
      </c>
      <c r="B17" s="2"/>
      <c r="C17" s="16" t="n">
        <v>34</v>
      </c>
      <c r="D17" s="16" t="n">
        <v>27</v>
      </c>
      <c r="E17" s="16"/>
      <c r="F17" s="16"/>
    </row>
    <row r="18" customFormat="false" ht="15" hidden="false" customHeight="false" outlineLevel="0" collapsed="false">
      <c r="A18" s="6" t="s">
        <v>73</v>
      </c>
      <c r="B18" s="2"/>
      <c r="C18" s="19" t="n">
        <f aca="false">IF(C16="","",IF(C17="",C16/5*100,C16/5*50+C17/40*50))</f>
        <v>86.5</v>
      </c>
      <c r="D18" s="19" t="n">
        <f aca="false">IF(D16="","",IF(D17="",D16/5*100,D16/5*50+D17/40*50))</f>
        <v>67.75</v>
      </c>
      <c r="E18" s="19" t="str">
        <f aca="false">IF(E16="","",IF(E17="",E16/5*100,E16/5*50+E17/40*50))</f>
        <v/>
      </c>
      <c r="F18" s="19" t="str">
        <f aca="false">IF(F16="","",IF(F17="",F16/5*100,F16/5*50+F17/40*50))</f>
        <v/>
      </c>
    </row>
    <row r="19" customFormat="false" ht="22.35" hidden="false" customHeight="false" outlineLevel="0" collapsed="false">
      <c r="A19" s="6" t="s">
        <v>74</v>
      </c>
      <c r="B19" s="2"/>
      <c r="C19" s="20" t="str">
        <f aca="false">IF(C18="","",IF(C18&gt;=80,"Hire",IF(C18&gt;=65,"Maybe: check references","Pass")))</f>
        <v>Hire</v>
      </c>
      <c r="D19" s="20" t="str">
        <f aca="false">IF(D18="","",IF(D18&gt;=80,"Hire",IF(D18&gt;=65,"Maybe: check references","Pass")))</f>
        <v>Maybe: check references</v>
      </c>
      <c r="E19" s="20" t="str">
        <f aca="false">IF(E18="","",IF(E18&gt;=80,"Hire",IF(E18&gt;=65,"Maybe: check references","Pass")))</f>
        <v/>
      </c>
      <c r="F19" s="20" t="str">
        <f aca="false">IF(F18="","",IF(F18&gt;=80,"Hire",IF(F18&gt;=65,"Maybe: check references","Pass")))</f>
        <v/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11" t="s">
        <v>75</v>
      </c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9.5" hidden="false" customHeight="true" outlineLevel="0" collapsed="false">
      <c r="A23" s="9" t="s">
        <v>76</v>
      </c>
      <c r="B23" s="9"/>
      <c r="C23" s="9"/>
      <c r="D23" s="9"/>
      <c r="E23" s="9"/>
      <c r="F23" s="9"/>
    </row>
    <row r="24" customFormat="false" ht="15" hidden="false" customHeight="true" outlineLevel="0" collapsed="false">
      <c r="A24" s="21" t="s">
        <v>77</v>
      </c>
      <c r="B24" s="21"/>
      <c r="C24" s="21"/>
      <c r="D24" s="21"/>
      <c r="E24" s="21"/>
      <c r="F24" s="21"/>
    </row>
    <row r="25" customFormat="false" ht="15" hidden="false" customHeight="true" outlineLevel="0" collapsed="false">
      <c r="A25" s="21" t="s">
        <v>78</v>
      </c>
      <c r="B25" s="21"/>
      <c r="C25" s="21"/>
      <c r="D25" s="21"/>
      <c r="E25" s="21"/>
      <c r="F25" s="21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false" outlineLevel="0" collapsed="false">
      <c r="A27" s="12" t="s">
        <v>51</v>
      </c>
      <c r="B27" s="2"/>
      <c r="C27" s="2"/>
      <c r="D27" s="2"/>
      <c r="E27" s="2"/>
      <c r="F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</row>
  </sheetData>
  <mergeCells count="4">
    <mergeCell ref="B5:D5"/>
    <mergeCell ref="A23:F23"/>
    <mergeCell ref="A24:F24"/>
    <mergeCell ref="A25:F25"/>
  </mergeCells>
  <conditionalFormatting sqref="B15">
    <cfRule type="cellIs" priority="2" operator="notEqual" aboveAverage="0" equalAverage="0" bottom="0" percent="0" rank="0" text="" dxfId="0">
      <formula>1</formula>
    </cfRule>
  </conditionalFormatting>
  <dataValidations count="1">
    <dataValidation allowBlank="true" errorStyle="stop" operator="between" showDropDown="false" showErrorMessage="false" showInputMessage="false" sqref="C9:F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" t="s">
        <v>79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80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 t="s">
        <v>81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30" hidden="false" customHeight="true" outlineLevel="0" collapsed="false">
      <c r="A5" s="5" t="s">
        <v>82</v>
      </c>
      <c r="B5" s="5" t="s">
        <v>83</v>
      </c>
      <c r="C5" s="5" t="s">
        <v>3</v>
      </c>
      <c r="D5" s="5" t="s">
        <v>84</v>
      </c>
      <c r="E5" s="5" t="s">
        <v>85</v>
      </c>
      <c r="F5" s="5" t="s">
        <v>86</v>
      </c>
      <c r="G5" s="5" t="s">
        <v>87</v>
      </c>
      <c r="H5" s="5" t="s">
        <v>88</v>
      </c>
    </row>
    <row r="6" customFormat="false" ht="15" hidden="false" customHeight="false" outlineLevel="0" collapsed="false">
      <c r="A6" s="22" t="n">
        <v>46300</v>
      </c>
      <c r="B6" s="13" t="s">
        <v>62</v>
      </c>
      <c r="C6" s="13" t="s">
        <v>17</v>
      </c>
      <c r="D6" s="13" t="s">
        <v>89</v>
      </c>
      <c r="E6" s="13" t="s">
        <v>90</v>
      </c>
      <c r="F6" s="16" t="n">
        <v>86</v>
      </c>
      <c r="G6" s="19" t="n">
        <f aca="true">IF(A6="","",IF(OR(E6="Hired",E6="Declined",E6="Rejected"),"",TODAY()-A6))</f>
        <v>9</v>
      </c>
      <c r="H6" s="13" t="s">
        <v>91</v>
      </c>
    </row>
    <row r="7" customFormat="false" ht="15" hidden="false" customHeight="false" outlineLevel="0" collapsed="false">
      <c r="A7" s="22"/>
      <c r="B7" s="13"/>
      <c r="C7" s="13"/>
      <c r="D7" s="13"/>
      <c r="E7" s="13"/>
      <c r="F7" s="16"/>
      <c r="G7" s="19" t="str">
        <f aca="true">IF(A7="","",IF(OR(E7="Hired",E7="Declined",E7="Rejected"),"",TODAY()-A7))</f>
        <v/>
      </c>
      <c r="H7" s="13"/>
    </row>
    <row r="8" customFormat="false" ht="15" hidden="false" customHeight="false" outlineLevel="0" collapsed="false">
      <c r="A8" s="22"/>
      <c r="B8" s="13"/>
      <c r="C8" s="13"/>
      <c r="D8" s="13"/>
      <c r="E8" s="13"/>
      <c r="F8" s="16"/>
      <c r="G8" s="19" t="str">
        <f aca="true">IF(A8="","",IF(OR(E8="Hired",E8="Declined",E8="Rejected"),"",TODAY()-A8))</f>
        <v/>
      </c>
      <c r="H8" s="13"/>
    </row>
    <row r="9" customFormat="false" ht="15" hidden="false" customHeight="false" outlineLevel="0" collapsed="false">
      <c r="A9" s="22"/>
      <c r="B9" s="13"/>
      <c r="C9" s="13"/>
      <c r="D9" s="13"/>
      <c r="E9" s="13"/>
      <c r="F9" s="16"/>
      <c r="G9" s="19" t="str">
        <f aca="true">IF(A9="","",IF(OR(E9="Hired",E9="Declined",E9="Rejected"),"",TODAY()-A9))</f>
        <v/>
      </c>
      <c r="H9" s="13"/>
    </row>
    <row r="10" customFormat="false" ht="15" hidden="false" customHeight="false" outlineLevel="0" collapsed="false">
      <c r="A10" s="22"/>
      <c r="B10" s="13"/>
      <c r="C10" s="13"/>
      <c r="D10" s="13"/>
      <c r="E10" s="13"/>
      <c r="F10" s="16"/>
      <c r="G10" s="19" t="str">
        <f aca="true">IF(A10="","",IF(OR(E10="Hired",E10="Declined",E10="Rejected"),"",TODAY()-A10))</f>
        <v/>
      </c>
      <c r="H10" s="13"/>
    </row>
    <row r="11" customFormat="false" ht="15" hidden="false" customHeight="false" outlineLevel="0" collapsed="false">
      <c r="A11" s="22"/>
      <c r="B11" s="13"/>
      <c r="C11" s="13"/>
      <c r="D11" s="13"/>
      <c r="E11" s="13"/>
      <c r="F11" s="16"/>
      <c r="G11" s="19" t="str">
        <f aca="true">IF(A11="","",IF(OR(E11="Hired",E11="Declined",E11="Rejected"),"",TODAY()-A11))</f>
        <v/>
      </c>
      <c r="H11" s="13"/>
    </row>
    <row r="12" customFormat="false" ht="15" hidden="false" customHeight="false" outlineLevel="0" collapsed="false">
      <c r="A12" s="22"/>
      <c r="B12" s="13"/>
      <c r="C12" s="13"/>
      <c r="D12" s="13"/>
      <c r="E12" s="13"/>
      <c r="F12" s="16"/>
      <c r="G12" s="19" t="str">
        <f aca="true">IF(A12="","",IF(OR(E12="Hired",E12="Declined",E12="Rejected"),"",TODAY()-A12))</f>
        <v/>
      </c>
      <c r="H12" s="13"/>
    </row>
    <row r="13" customFormat="false" ht="15" hidden="false" customHeight="false" outlineLevel="0" collapsed="false">
      <c r="A13" s="22"/>
      <c r="B13" s="13"/>
      <c r="C13" s="13"/>
      <c r="D13" s="13"/>
      <c r="E13" s="13"/>
      <c r="F13" s="16"/>
      <c r="G13" s="19" t="str">
        <f aca="true">IF(A13="","",IF(OR(E13="Hired",E13="Declined",E13="Rejected"),"",TODAY()-A13))</f>
        <v/>
      </c>
      <c r="H13" s="13"/>
    </row>
    <row r="14" customFormat="false" ht="15" hidden="false" customHeight="false" outlineLevel="0" collapsed="false">
      <c r="A14" s="22"/>
      <c r="B14" s="13"/>
      <c r="C14" s="13"/>
      <c r="D14" s="13"/>
      <c r="E14" s="13"/>
      <c r="F14" s="16"/>
      <c r="G14" s="19" t="str">
        <f aca="true">IF(A14="","",IF(OR(E14="Hired",E14="Declined",E14="Rejected"),"",TODAY()-A14))</f>
        <v/>
      </c>
      <c r="H14" s="13"/>
    </row>
    <row r="15" customFormat="false" ht="15" hidden="false" customHeight="false" outlineLevel="0" collapsed="false">
      <c r="A15" s="22"/>
      <c r="B15" s="13"/>
      <c r="C15" s="13"/>
      <c r="D15" s="13"/>
      <c r="E15" s="13"/>
      <c r="F15" s="16"/>
      <c r="G15" s="19" t="str">
        <f aca="true">IF(A15="","",IF(OR(E15="Hired",E15="Declined",E15="Rejected"),"",TODAY()-A15))</f>
        <v/>
      </c>
      <c r="H15" s="13"/>
    </row>
    <row r="16" customFormat="false" ht="15" hidden="false" customHeight="false" outlineLevel="0" collapsed="false">
      <c r="A16" s="22"/>
      <c r="B16" s="13"/>
      <c r="C16" s="13"/>
      <c r="D16" s="13"/>
      <c r="E16" s="13"/>
      <c r="F16" s="16"/>
      <c r="G16" s="19" t="str">
        <f aca="true">IF(A16="","",IF(OR(E16="Hired",E16="Declined",E16="Rejected"),"",TODAY()-A16))</f>
        <v/>
      </c>
      <c r="H16" s="13"/>
    </row>
    <row r="17" customFormat="false" ht="15" hidden="false" customHeight="false" outlineLevel="0" collapsed="false">
      <c r="A17" s="22"/>
      <c r="B17" s="13"/>
      <c r="C17" s="13"/>
      <c r="D17" s="13"/>
      <c r="E17" s="13"/>
      <c r="F17" s="16"/>
      <c r="G17" s="19" t="str">
        <f aca="true">IF(A17="","",IF(OR(E17="Hired",E17="Declined",E17="Rejected"),"",TODAY()-A17))</f>
        <v/>
      </c>
      <c r="H17" s="13"/>
    </row>
    <row r="18" customFormat="false" ht="15" hidden="false" customHeight="false" outlineLevel="0" collapsed="false">
      <c r="A18" s="22"/>
      <c r="B18" s="13"/>
      <c r="C18" s="13"/>
      <c r="D18" s="13"/>
      <c r="E18" s="13"/>
      <c r="F18" s="16"/>
      <c r="G18" s="19" t="str">
        <f aca="true">IF(A18="","",IF(OR(E18="Hired",E18="Declined",E18="Rejected"),"",TODAY()-A18))</f>
        <v/>
      </c>
      <c r="H18" s="13"/>
    </row>
    <row r="19" customFormat="false" ht="15" hidden="false" customHeight="false" outlineLevel="0" collapsed="false">
      <c r="A19" s="22"/>
      <c r="B19" s="13"/>
      <c r="C19" s="13"/>
      <c r="D19" s="13"/>
      <c r="E19" s="13"/>
      <c r="F19" s="16"/>
      <c r="G19" s="19" t="str">
        <f aca="true">IF(A19="","",IF(OR(E19="Hired",E19="Declined",E19="Rejected"),"",TODAY()-A19))</f>
        <v/>
      </c>
      <c r="H19" s="13"/>
    </row>
    <row r="20" customFormat="false" ht="15" hidden="false" customHeight="false" outlineLevel="0" collapsed="false">
      <c r="A20" s="22"/>
      <c r="B20" s="13"/>
      <c r="C20" s="13"/>
      <c r="D20" s="13"/>
      <c r="E20" s="13"/>
      <c r="F20" s="16"/>
      <c r="G20" s="19" t="str">
        <f aca="true">IF(A20="","",IF(OR(E20="Hired",E20="Declined",E20="Rejected"),"",TODAY()-A20))</f>
        <v/>
      </c>
      <c r="H20" s="13"/>
    </row>
    <row r="21" customFormat="false" ht="15" hidden="false" customHeight="false" outlineLevel="0" collapsed="false">
      <c r="A21" s="22"/>
      <c r="B21" s="13"/>
      <c r="C21" s="13"/>
      <c r="D21" s="13"/>
      <c r="E21" s="13"/>
      <c r="F21" s="16"/>
      <c r="G21" s="19" t="str">
        <f aca="true">IF(A21="","",IF(OR(E21="Hired",E21="Declined",E21="Rejected"),"",TODAY()-A21))</f>
        <v/>
      </c>
      <c r="H21" s="13"/>
    </row>
    <row r="22" customFormat="false" ht="15" hidden="false" customHeight="false" outlineLevel="0" collapsed="false">
      <c r="A22" s="22"/>
      <c r="B22" s="13"/>
      <c r="C22" s="13"/>
      <c r="D22" s="13"/>
      <c r="E22" s="13"/>
      <c r="F22" s="16"/>
      <c r="G22" s="19" t="str">
        <f aca="true">IF(A22="","",IF(OR(E22="Hired",E22="Declined",E22="Rejected"),"",TODAY()-A22))</f>
        <v/>
      </c>
      <c r="H22" s="13"/>
    </row>
    <row r="23" customFormat="false" ht="15" hidden="false" customHeight="false" outlineLevel="0" collapsed="false">
      <c r="A23" s="22"/>
      <c r="B23" s="13"/>
      <c r="C23" s="13"/>
      <c r="D23" s="13"/>
      <c r="E23" s="13"/>
      <c r="F23" s="16"/>
      <c r="G23" s="19" t="str">
        <f aca="true">IF(A23="","",IF(OR(E23="Hired",E23="Declined",E23="Rejected"),"",TODAY()-A23))</f>
        <v/>
      </c>
      <c r="H23" s="13"/>
    </row>
    <row r="24" customFormat="false" ht="15" hidden="false" customHeight="false" outlineLevel="0" collapsed="false">
      <c r="A24" s="22"/>
      <c r="B24" s="13"/>
      <c r="C24" s="13"/>
      <c r="D24" s="13"/>
      <c r="E24" s="13"/>
      <c r="F24" s="16"/>
      <c r="G24" s="19" t="str">
        <f aca="true">IF(A24="","",IF(OR(E24="Hired",E24="Declined",E24="Rejected"),"",TODAY()-A24))</f>
        <v/>
      </c>
      <c r="H24" s="13"/>
    </row>
    <row r="25" customFormat="false" ht="15" hidden="false" customHeight="false" outlineLevel="0" collapsed="false">
      <c r="A25" s="22"/>
      <c r="B25" s="13"/>
      <c r="C25" s="13"/>
      <c r="D25" s="13"/>
      <c r="E25" s="13"/>
      <c r="F25" s="16"/>
      <c r="G25" s="19" t="str">
        <f aca="true">IF(A25="","",IF(OR(E25="Hired",E25="Declined",E25="Rejected"),"",TODAY()-A25))</f>
        <v/>
      </c>
      <c r="H25" s="13"/>
    </row>
    <row r="26" customFormat="false" ht="15" hidden="false" customHeight="false" outlineLevel="0" collapsed="false">
      <c r="A26" s="22"/>
      <c r="B26" s="13"/>
      <c r="C26" s="13"/>
      <c r="D26" s="13"/>
      <c r="E26" s="13"/>
      <c r="F26" s="16"/>
      <c r="G26" s="19" t="str">
        <f aca="true">IF(A26="","",IF(OR(E26="Hired",E26="Declined",E26="Rejected"),"",TODAY()-A26))</f>
        <v/>
      </c>
      <c r="H26" s="13"/>
    </row>
    <row r="27" customFormat="false" ht="15" hidden="false" customHeight="false" outlineLevel="0" collapsed="false">
      <c r="A27" s="22"/>
      <c r="B27" s="13"/>
      <c r="C27" s="13"/>
      <c r="D27" s="13"/>
      <c r="E27" s="13"/>
      <c r="F27" s="16"/>
      <c r="G27" s="19" t="str">
        <f aca="true">IF(A27="","",IF(OR(E27="Hired",E27="Declined",E27="Rejected"),"",TODAY()-A27))</f>
        <v/>
      </c>
      <c r="H27" s="13"/>
    </row>
    <row r="28" customFormat="false" ht="15" hidden="false" customHeight="false" outlineLevel="0" collapsed="false">
      <c r="A28" s="22"/>
      <c r="B28" s="13"/>
      <c r="C28" s="13"/>
      <c r="D28" s="13"/>
      <c r="E28" s="13"/>
      <c r="F28" s="16"/>
      <c r="G28" s="19" t="str">
        <f aca="true">IF(A28="","",IF(OR(E28="Hired",E28="Declined",E28="Rejected"),"",TODAY()-A28))</f>
        <v/>
      </c>
      <c r="H28" s="13"/>
    </row>
    <row r="29" customFormat="false" ht="15" hidden="false" customHeight="false" outlineLevel="0" collapsed="false">
      <c r="A29" s="22"/>
      <c r="B29" s="13"/>
      <c r="C29" s="13"/>
      <c r="D29" s="13"/>
      <c r="E29" s="13"/>
      <c r="F29" s="16"/>
      <c r="G29" s="19" t="str">
        <f aca="true">IF(A29="","",IF(OR(E29="Hired",E29="Declined",E29="Rejected"),"",TODAY()-A29))</f>
        <v/>
      </c>
      <c r="H29" s="13"/>
    </row>
    <row r="30" customFormat="false" ht="15" hidden="false" customHeight="false" outlineLevel="0" collapsed="false">
      <c r="A30" s="22"/>
      <c r="B30" s="13"/>
      <c r="C30" s="13"/>
      <c r="D30" s="13"/>
      <c r="E30" s="13"/>
      <c r="F30" s="16"/>
      <c r="G30" s="19" t="str">
        <f aca="true">IF(A30="","",IF(OR(E30="Hired",E30="Declined",E30="Rejected"),"",TODAY()-A30))</f>
        <v/>
      </c>
      <c r="H30" s="13"/>
    </row>
    <row r="31" customFormat="false" ht="15" hidden="false" customHeight="false" outlineLevel="0" collapsed="false">
      <c r="A31" s="22"/>
      <c r="B31" s="13"/>
      <c r="C31" s="13"/>
      <c r="D31" s="13"/>
      <c r="E31" s="13"/>
      <c r="F31" s="16"/>
      <c r="G31" s="19" t="str">
        <f aca="true">IF(A31="","",IF(OR(E31="Hired",E31="Declined",E31="Rejected"),"",TODAY()-A31))</f>
        <v/>
      </c>
      <c r="H31" s="13"/>
    </row>
    <row r="32" customFormat="false" ht="15" hidden="false" customHeight="false" outlineLevel="0" collapsed="false">
      <c r="A32" s="22"/>
      <c r="B32" s="13"/>
      <c r="C32" s="13"/>
      <c r="D32" s="13"/>
      <c r="E32" s="13"/>
      <c r="F32" s="16"/>
      <c r="G32" s="19" t="str">
        <f aca="true">IF(A32="","",IF(OR(E32="Hired",E32="Declined",E32="Rejected"),"",TODAY()-A32))</f>
        <v/>
      </c>
      <c r="H32" s="13"/>
    </row>
    <row r="33" customFormat="false" ht="15" hidden="false" customHeight="false" outlineLevel="0" collapsed="false">
      <c r="A33" s="22"/>
      <c r="B33" s="13"/>
      <c r="C33" s="13"/>
      <c r="D33" s="13"/>
      <c r="E33" s="13"/>
      <c r="F33" s="16"/>
      <c r="G33" s="19" t="str">
        <f aca="true">IF(A33="","",IF(OR(E33="Hired",E33="Declined",E33="Rejected"),"",TODAY()-A33))</f>
        <v/>
      </c>
      <c r="H33" s="13"/>
    </row>
    <row r="34" customFormat="false" ht="15" hidden="false" customHeight="false" outlineLevel="0" collapsed="false">
      <c r="A34" s="22"/>
      <c r="B34" s="13"/>
      <c r="C34" s="13"/>
      <c r="D34" s="13"/>
      <c r="E34" s="13"/>
      <c r="F34" s="16"/>
      <c r="G34" s="19" t="str">
        <f aca="true">IF(A34="","",IF(OR(E34="Hired",E34="Declined",E34="Rejected"),"",TODAY()-A34))</f>
        <v/>
      </c>
      <c r="H34" s="13"/>
    </row>
    <row r="35" customFormat="false" ht="15" hidden="false" customHeight="false" outlineLevel="0" collapsed="false">
      <c r="A35" s="22"/>
      <c r="B35" s="13"/>
      <c r="C35" s="13"/>
      <c r="D35" s="13"/>
      <c r="E35" s="13"/>
      <c r="F35" s="16"/>
      <c r="G35" s="19" t="str">
        <f aca="true">IF(A35="","",IF(OR(E35="Hired",E35="Declined",E35="Rejected"),"",TODAY()-A35))</f>
        <v/>
      </c>
      <c r="H35" s="13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9.5" hidden="false" customHeight="true" outlineLevel="0" collapsed="false">
      <c r="A37" s="9" t="s">
        <v>92</v>
      </c>
      <c r="B37" s="9"/>
      <c r="C37" s="9"/>
      <c r="D37" s="9"/>
      <c r="E37" s="9"/>
      <c r="F37" s="9"/>
      <c r="G37" s="9"/>
      <c r="H37" s="9"/>
    </row>
    <row r="38" customFormat="false" ht="15" hidden="false" customHeight="true" outlineLevel="0" collapsed="false">
      <c r="A38" s="6" t="s">
        <v>93</v>
      </c>
      <c r="B38" s="6"/>
      <c r="C38" s="19" t="n">
        <f aca="false">COUNTA(B6:B35)</f>
        <v>1</v>
      </c>
      <c r="D38" s="2"/>
      <c r="E38" s="2"/>
      <c r="F38" s="2"/>
      <c r="G38" s="2"/>
      <c r="H38" s="2"/>
    </row>
    <row r="39" customFormat="false" ht="15" hidden="false" customHeight="true" outlineLevel="0" collapsed="false">
      <c r="A39" s="6" t="s">
        <v>94</v>
      </c>
      <c r="B39" s="6"/>
      <c r="C39" s="19" t="n">
        <f aca="false">COUNTIF(E6:E35,"Hired")</f>
        <v>0</v>
      </c>
      <c r="D39" s="2"/>
      <c r="E39" s="2"/>
      <c r="F39" s="2"/>
      <c r="G39" s="2"/>
      <c r="H39" s="2"/>
    </row>
    <row r="40" customFormat="false" ht="15" hidden="false" customHeight="true" outlineLevel="0" collapsed="false">
      <c r="A40" s="6" t="s">
        <v>95</v>
      </c>
      <c r="B40" s="6"/>
      <c r="C40" s="19" t="n">
        <f aca="false">COUNTIFS(D6:D35,"Staff referral",E6:E35,"Hired")</f>
        <v>0</v>
      </c>
      <c r="D40" s="2"/>
      <c r="E40" s="2"/>
      <c r="F40" s="2"/>
      <c r="G40" s="2"/>
      <c r="H40" s="2"/>
    </row>
    <row r="41" customFormat="false" ht="15" hidden="false" customHeight="true" outlineLevel="0" collapsed="false">
      <c r="A41" s="6" t="s">
        <v>96</v>
      </c>
      <c r="B41" s="6"/>
      <c r="C41" s="19" t="n">
        <f aca="false">COUNTIF(G6:G35,"&gt;7")</f>
        <v>1</v>
      </c>
      <c r="D41" s="11" t="s">
        <v>97</v>
      </c>
      <c r="E41" s="2"/>
      <c r="F41" s="2"/>
      <c r="G41" s="2"/>
      <c r="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12" t="s">
        <v>51</v>
      </c>
      <c r="B44" s="2"/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</row>
  </sheetData>
  <mergeCells count="5">
    <mergeCell ref="A37:H37"/>
    <mergeCell ref="A38:B38"/>
    <mergeCell ref="A39:B39"/>
    <mergeCell ref="A40:B40"/>
    <mergeCell ref="A41:B41"/>
  </mergeCells>
  <conditionalFormatting sqref="G6:G35">
    <cfRule type="cellIs" priority="2" operator="greaterThan" aboveAverage="0" equalAverage="0" bottom="0" percent="0" rank="0" text="" dxfId="0">
      <formula>7</formula>
    </cfRule>
  </conditionalFormatting>
  <dataValidations count="3">
    <dataValidation allowBlank="true" errorStyle="stop" operator="between" showDropDown="false" showErrorMessage="false" showInputMessage="false" sqref="C6:C35" type="list">
      <formula1>"Event Captain,Lead Cook,Event Server,Prep Cook,Driver,Other"</formula1>
      <formula2>0</formula2>
    </dataValidation>
    <dataValidation allowBlank="true" errorStyle="stop" operator="between" showDropDown="false" showErrorMessage="false" showInputMessage="false" sqref="D6:D35" type="list">
      <formula1>"Indeed,Staff referral,Social media,Culinary school,Partner referral,Walk-in,Other"</formula1>
      <formula2>0</formula2>
    </dataValidation>
    <dataValidation allowBlank="true" errorStyle="stop" operator="between" showDropDown="false" showErrorMessage="false" showInputMessage="false" sqref="E6:E35" type="list">
      <formula1>"Applied,Phone screen,Interview,Working interview,Offer,Hired,Declined,Rejected"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2026-10-14T14:49:24Z</dcterms:created>
  <dc:creator>openpyxl</dc:creator>
  <dc:description/>
  <dc:language>en-US</dc:language>
  <cp:lastModifiedBy/>
  <dcterms:modified xsi:type="dcterms:W3CDTF">2026-10-14T14:49:24Z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